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1bf15849934d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45796254b903464d"/>
    <x:sheet xmlns:r="http://schemas.openxmlformats.org/officeDocument/2006/relationships" name="Sources Audit" sheetId="2" r:id="R5101b198b8614148"/>
    <x:sheet xmlns:r="http://schemas.openxmlformats.org/officeDocument/2006/relationships" name="Assumptions" sheetId="3" r:id="R853c7f2280ce4185"/>
    <x:sheet xmlns:r="http://schemas.openxmlformats.org/officeDocument/2006/relationships" name="Historical FS" sheetId="4" r:id="Rc1b5b0b537674645"/>
    <x:sheet xmlns:r="http://schemas.openxmlformats.org/officeDocument/2006/relationships" name="Operating Model" sheetId="5" r:id="Rb23ca3287aa2425d"/>
    <x:sheet xmlns:r="http://schemas.openxmlformats.org/officeDocument/2006/relationships" name="Statements" sheetId="6" r:id="Re014fc4b11014e50"/>
    <x:sheet xmlns:r="http://schemas.openxmlformats.org/officeDocument/2006/relationships" name="DCF" sheetId="7" r:id="Rffa99d42aca54fba"/>
    <x:sheet xmlns:r="http://schemas.openxmlformats.org/officeDocument/2006/relationships" name="Trading Comps" sheetId="8" r:id="R065a15c6f444479f"/>
    <x:sheet xmlns:r="http://schemas.openxmlformats.org/officeDocument/2006/relationships" name="Precedents" sheetId="9" r:id="Rc114d02c52194e39"/>
    <x:sheet xmlns:r="http://schemas.openxmlformats.org/officeDocument/2006/relationships" name="Football Field" sheetId="10" r:id="R9ffbdf746ff44610"/>
    <x:sheet xmlns:r="http://schemas.openxmlformats.org/officeDocument/2006/relationships" name="Thesis" sheetId="11" r:id="Ra8313924c722433e"/>
    <x:sheet xmlns:r="http://schemas.openxmlformats.org/officeDocument/2006/relationships" name="Checks" sheetId="12" r:id="R5f0592f52f6540a1"/>
  </x:sheets>
</x:workbook>
</file>

<file path=xl/comments1.xml><?xml version="1.0" encoding="utf-8"?>
<x:comments xmlns:x="http://schemas.openxmlformats.org/spreadsheetml/2006/main">
  <x:authors>
    <x:author>tc={C442DAF0-A531-217B-D815-5903A16A6D07}</x:author>
    <x:author>tc={021B576E-5E20-ED20-DB8B-AED1B8AFD8F0}</x:author>
    <x:author>tc={35C9F540-48A3-F3DF-EF29-1DFF2A59B432}</x:author>
    <x:author>tc={91A25FB1-5A09-4835-8769-8203F660286A}</x:author>
  </x:authors>
  <x:commentList>
    <x:comment ref="B2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required: current India 10-year government bond yield as of valuation date.</x:t>
        </x:r>
      </x:text>
    </x:comment>
    <x:comment ref="B22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required: levered beta from market data provider; note if adjusted or raw.</x:t>
        </x:r>
      </x:text>
    </x:comment>
    <x:comment ref="B23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required: equity risk premium, preferably Damodaran ERP data with date/version.</x:t>
        </x:r>
      </x:text>
    </x:comment>
    <x:comment ref="B33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required: diluted share count from latest filing / exchange data.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&quot;₹&quot;0.00;[Red](&quot;₹&quot;0.00);-"/>
    <x:numFmt numFmtId="201" formatCode="0.0%;[Red](0.0%);-"/>
    <x:numFmt numFmtId="202" formatCode="0.0x;[Red](0.0x);-"/>
    <x:numFmt numFmtId="203" formatCode="yyyy-mm-dd"/>
    <x:numFmt numFmtId="204" formatCode="&quot;₹&quot;#,##0;[Red](&quot;₹&quot;#,##0);-"/>
    <x:numFmt numFmtId="205" formatCode="#,##0;[Red](#,##0);-"/>
    <x:numFmt numFmtId="206" formatCode="0.0"/>
  </x:numFmts>
  <x:fonts count="21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  <x:font>
      <x:sz val="11"/>
      <x:color rgb="FF0563C1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1"/>
      <x:color rgb="FF0000FF"/>
      <x:name val="Carlito"/>
    </x:font>
    <x:font>
      <x:sz val="11"/>
      <x:color rgb="FF008000"/>
      <x:name val="Carlito"/>
    </x:font>
    <x:font>
      <x:b/>
      <x:sz val="11"/>
      <x:color rgb="FF008000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name val="Aptos"/>
    </x:font>
    <x:font>
      <x:b/>
      <x:sz val="10"/>
      <x:color rgb="FF000000"/>
      <x:name val="Aptos"/>
    </x:font>
    <x:font>
      <x:sz val="10"/>
      <x:color rgb="FF0563C1"/>
      <x:name val="Aptos"/>
    </x:font>
    <x:font>
      <x:sz val="10"/>
      <x:color rgb="FF0000FF"/>
      <x:name val="Aptos"/>
    </x:font>
    <x:font>
      <x:sz val="10"/>
      <x:color rgb="FF000000"/>
      <x:name val="Aptos"/>
    </x:font>
    <x:font>
      <x:sz val="10"/>
      <x:color rgb="FF008000"/>
      <x:name val="Aptos"/>
    </x:font>
    <x:font>
      <x:b/>
      <x:sz val="10"/>
      <x:color rgb="FF0000FF"/>
      <x:name val="Aptos"/>
    </x:font>
    <x:font>
      <x:b/>
      <x:sz val="10"/>
      <x:color rgb="FF008000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7EDF6"/>
      </x:patternFill>
    </x:fill>
    <x:fill>
      <x:patternFill patternType="solid">
        <x:fgColor rgb="FFFFF2CC"/>
      </x:patternFill>
    </x:fill>
    <x:fill>
      <x:patternFill patternType="solid">
        <x:fgColor rgb="FFF4F6F8"/>
      </x:patternFill>
    </x:fill>
    <x:fill>
      <x:patternFill patternType="solid">
        <x:fgColor rgb="FFF8FAFC"/>
      </x:patternFill>
    </x:fill>
  </x:fills>
  <x:borders count="11">
    <x:border/>
    <x:border>
      <x:right style="thin">
        <x:color rgb="FFD9E2F3"/>
      </x:right>
    </x:border>
    <x:border>
      <x:left style="thin">
        <x:color rgb="FFD9E2F3"/>
      </x:left>
      <x:right style="thin">
        <x:color rgb="FFD9E2F3"/>
      </x:right>
    </x:border>
    <x:border>
      <x:left style="thin">
        <x:color rgb="FFD9E2F3"/>
      </x:left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bottom style="double">
        <x:color rgb="FF808080"/>
      </x:bottom>
    </x:border>
  </x:borders>
  <x:cellStyleXfs count="1">
    <x:xf numFmtId="0" fontId="0" fillId="0" borderId="0"/>
  </x:cellStyleXfs>
  <x:cellXfs count="20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5" fillId="0" borderId="7" xfId="0" applyNumberFormat="1" applyFont="1" applyFill="1" applyBorder="1"/>
    <x:xf numFmtId="0" fontId="5" fillId="0" borderId="9" xfId="0" applyNumberFormat="1" applyFont="1" applyFill="1" applyBorder="1"/>
    <x:xf numFmtId="0" fontId="5" fillId="0" borderId="7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201" fontId="6" fillId="4" borderId="0" xfId="0" applyNumberFormat="1" applyFont="1" applyFill="1" applyBorder="1"/>
    <x:xf numFmtId="203" fontId="6" fillId="4" borderId="0" xfId="0" applyNumberFormat="1" applyFont="1" applyFill="1" applyBorder="1"/>
    <x:xf numFmtId="0" fontId="7" fillId="0" borderId="0" xfId="0" applyNumberFormat="1" applyFont="1" applyFill="1" applyBorder="1"/>
    <x:xf numFmtId="201" fontId="7" fillId="0" borderId="0" xfId="0" applyNumberFormat="1" applyFont="1" applyFill="1" applyBorder="1"/>
    <x:xf numFmtId="204" fontId="6" fillId="4" borderId="0" xfId="0" applyNumberFormat="1" applyFont="1" applyFill="1" applyBorder="1"/>
    <x:xf numFmtId="205" fontId="6" fillId="4" borderId="0" xfId="0" applyNumberFormat="1" applyFont="1" applyFill="1" applyBorder="1"/>
    <x:xf numFmtId="200" fontId="6" fillId="4" borderId="0" xfId="0" applyNumberFormat="1" applyFont="1" applyFill="1" applyBorder="1"/>
    <x:xf numFmtId="202" fontId="6" fillId="4" borderId="0" xfId="0" applyNumberFormat="1" applyFont="1" applyFill="1" applyBorder="1"/>
    <x:xf numFmtId="201" fontId="7" fillId="4" borderId="0" xfId="0" applyNumberFormat="1" applyFont="1" applyFill="1" applyBorder="1"/>
    <x:xf numFmtId="205" fontId="7" fillId="4" borderId="0" xfId="0" applyNumberFormat="1" applyFont="1" applyFill="1" applyBorder="1"/>
    <x:xf numFmtId="0" fontId="0" fillId="5" borderId="0" xfId="0" applyNumberFormat="1" applyFont="1" applyFill="1" applyBorder="1"/>
    <x:xf numFmtId="205" fontId="7" fillId="5" borderId="0" xfId="0" applyNumberFormat="1" applyFont="1" applyFill="1" applyBorder="1"/>
    <x:xf numFmtId="201" fontId="7" fillId="5" borderId="0" xfId="0" applyNumberFormat="1" applyFont="1" applyFill="1" applyBorder="1"/>
    <x:xf numFmtId="0" fontId="2" fillId="5" borderId="0" xfId="0" applyNumberFormat="1" applyFont="1" applyFill="1" applyBorder="1"/>
    <x:xf numFmtId="205" fontId="4" fillId="5" borderId="0" xfId="0" applyNumberFormat="1" applyFont="1" applyFill="1" applyBorder="1"/>
    <x:xf numFmtId="201" fontId="4" fillId="5" borderId="0" xfId="0" applyNumberFormat="1" applyFont="1" applyFill="1" applyBorder="1"/>
    <x:xf numFmtId="0" fontId="2" fillId="5" borderId="10" xfId="0" applyNumberFormat="1" applyFont="1" applyFill="1" applyBorder="1"/>
    <x:xf numFmtId="201" fontId="4" fillId="5" borderId="10" xfId="0" applyNumberFormat="1" applyFont="1" applyFill="1" applyBorder="1"/>
    <x:xf numFmtId="205" fontId="6" fillId="5" borderId="0" xfId="0" applyNumberFormat="1" applyFont="1" applyFill="1" applyBorder="1"/>
    <x:xf numFmtId="205" fontId="8" fillId="5" borderId="0" xfId="0" applyNumberFormat="1" applyFont="1" applyFill="1" applyBorder="1"/>
    <x:xf numFmtId="205" fontId="4" fillId="5" borderId="10" xfId="0" applyNumberFormat="1" applyFont="1" applyFill="1" applyBorder="1"/>
    <x:xf numFmtId="0" fontId="9" fillId="0" borderId="0" xfId="0" applyNumberFormat="1" applyFont="1" applyFill="1" applyBorder="1"/>
    <x:xf numFmtId="205" fontId="0" fillId="0" borderId="0" xfId="0" applyNumberFormat="1" applyFont="1" applyFill="1" applyBorder="1"/>
    <x:xf numFmtId="205" fontId="0" fillId="5" borderId="0" xfId="0" applyNumberFormat="1" applyFont="1" applyFill="1" applyBorder="1"/>
    <x:xf numFmtId="205" fontId="2" fillId="5" borderId="0" xfId="0" applyNumberFormat="1" applyFont="1" applyFill="1" applyBorder="1"/>
    <x:xf numFmtId="205" fontId="2" fillId="5" borderId="10" xfId="0" applyNumberFormat="1" applyFont="1" applyFill="1" applyBorder="1"/>
    <x:xf numFmtId="205" fontId="9" fillId="0" borderId="0" xfId="0" applyNumberFormat="1" applyFont="1" applyFill="1" applyBorder="1"/>
    <x:xf numFmtId="201" fontId="9" fillId="0" borderId="0" xfId="0" applyNumberFormat="1" applyFont="1" applyFill="1" applyBorder="1"/>
    <x:xf numFmtId="205" fontId="10" fillId="5" borderId="10" xfId="0" applyNumberFormat="1" applyFont="1" applyFill="1" applyBorder="1"/>
    <x:xf numFmtId="205" fontId="7" fillId="0" borderId="0" xfId="0" applyNumberFormat="1" applyFont="1" applyFill="1" applyBorder="1"/>
    <x:xf numFmtId="205" fontId="3" fillId="2" borderId="0" xfId="0" applyNumberFormat="1" applyFont="1" applyFill="1" applyBorder="1" applyAlignment="1">
      <x:alignment horizontal="left"/>
    </x:xf>
    <x:xf numFmtId="205" fontId="4" fillId="3" borderId="2" xfId="0" applyNumberFormat="1" applyFont="1" applyFill="1" applyBorder="1"/>
    <x:xf numFmtId="205" fontId="4" fillId="3" borderId="3" xfId="0" applyNumberFormat="1" applyFont="1" applyFill="1" applyBorder="1"/>
    <x:xf numFmtId="205" fontId="4" fillId="2" borderId="0" xfId="0" applyNumberFormat="1" applyFont="1" applyFill="1" applyBorder="1" applyAlignment="1">
      <x:alignment horizontal="left"/>
    </x:xf>
    <x:xf numFmtId="206" fontId="0" fillId="0" borderId="0" xfId="0" applyNumberFormat="1" applyFont="1" applyFill="1" applyBorder="1"/>
    <x:xf numFmtId="204" fontId="0" fillId="0" borderId="0" xfId="0" applyNumberFormat="1" applyFont="1" applyFill="1" applyBorder="1"/>
    <x:xf numFmtId="204" fontId="0" fillId="5" borderId="0" xfId="0" applyNumberFormat="1" applyFont="1" applyFill="1" applyBorder="1"/>
    <x:xf numFmtId="200" fontId="0" fillId="5" borderId="0" xfId="0" applyNumberFormat="1" applyFont="1" applyFill="1" applyBorder="1"/>
    <x:xf numFmtId="204" fontId="2" fillId="5" borderId="0" xfId="0" applyNumberFormat="1" applyFont="1" applyFill="1" applyBorder="1"/>
    <x:xf numFmtId="200" fontId="2" fillId="5" borderId="0" xfId="0" applyNumberFormat="1" applyFont="1" applyFill="1" applyBorder="1"/>
    <x:xf numFmtId="200" fontId="2" fillId="5" borderId="10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8" fillId="4" borderId="2" xfId="0" applyNumberFormat="1" applyFont="1" applyFill="1" applyBorder="1"/>
    <x:xf numFmtId="0" fontId="8" fillId="4" borderId="3" xfId="0" applyNumberFormat="1" applyFont="1" applyFill="1" applyBorder="1"/>
    <x:xf numFmtId="201" fontId="8" fillId="4" borderId="2" xfId="0" applyNumberFormat="1" applyFont="1" applyFill="1" applyBorder="1"/>
    <x:xf numFmtId="201" fontId="8" fillId="4" borderId="3" xfId="0" applyNumberFormat="1" applyFont="1" applyFill="1" applyBorder="1"/>
    <x:xf numFmtId="0" fontId="7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0" xfId="0" applyNumberFormat="1" applyFont="1" applyFill="1" applyBorder="1"/>
    <x:xf numFmtId="202" fontId="7" fillId="0" borderId="0" xfId="0" applyNumberFormat="1" applyFont="1" applyFill="1" applyBorder="1"/>
    <x:xf numFmtId="202" fontId="4" fillId="5" borderId="10" xfId="0" applyNumberFormat="1" applyFont="1" applyFill="1" applyBorder="1"/>
    <x:xf numFmtId="202" fontId="0" fillId="5" borderId="0" xfId="0" applyNumberFormat="1" applyFont="1" applyFill="1" applyBorder="1"/>
    <x:xf numFmtId="202" fontId="2" fillId="5" borderId="0" xfId="0" applyNumberFormat="1" applyFont="1" applyFill="1" applyBorder="1"/>
    <x:xf numFmtId="204" fontId="2" fillId="5" borderId="10" xfId="0" applyNumberFormat="1" applyFont="1" applyFill="1" applyBorder="1"/>
    <x:xf numFmtId="202" fontId="2" fillId="5" borderId="10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left" wrapText="1"/>
    </x:xf>
    <x:xf numFmtId="0" fontId="11" fillId="2" borderId="0" xfId="0" applyNumberFormat="1" applyFont="1" applyFill="1" applyBorder="1" applyAlignment="1">
      <x:alignment horizontal="left" vertical="center"/>
    </x:xf>
    <x:xf numFmtId="0" fontId="12" fillId="0" borderId="0" xfId="0" applyNumberFormat="1" applyFont="1" applyFill="1" applyBorder="1"/>
    <x:xf numFmtId="0" fontId="13" fillId="3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1" fillId="2" borderId="0" xfId="0" applyNumberFormat="1" applyFont="1" applyFill="1" applyBorder="1" applyAlignment="1">
      <x:alignment horizontal="left"/>
    </x:xf>
    <x:xf numFmtId="0" fontId="14" fillId="3" borderId="1" xfId="0" applyNumberFormat="1" applyFont="1" applyFill="1" applyBorder="1"/>
    <x:xf numFmtId="0" fontId="14" fillId="3" borderId="2" xfId="0" applyNumberFormat="1" applyFont="1" applyFill="1" applyBorder="1"/>
    <x:xf numFmtId="0" fontId="14" fillId="3" borderId="3" xfId="0" applyNumberFormat="1" applyFont="1" applyFill="1" applyBorder="1"/>
    <x:xf numFmtId="200" fontId="12" fillId="0" borderId="0" xfId="0" applyNumberFormat="1" applyFont="1" applyFill="1" applyBorder="1"/>
    <x:xf numFmtId="201" fontId="12" fillId="0" borderId="0" xfId="0" applyNumberFormat="1" applyFont="1" applyFill="1" applyBorder="1"/>
    <x:xf numFmtId="202" fontId="12" fillId="0" borderId="0" xfId="0" applyNumberFormat="1" applyFont="1" applyFill="1" applyBorder="1"/>
    <x:xf numFmtId="0" fontId="11" fillId="2" borderId="0" xfId="0" applyNumberFormat="1" applyFont="1" applyFill="1" applyBorder="1" applyAlignment="1">
      <x:alignment horizontal="left" vertical="center" wrapText="0"/>
    </x:xf>
    <x:xf numFmtId="0" fontId="12" fillId="0" borderId="0" xfId="0" applyNumberFormat="1" applyFont="1" applyFill="1" applyBorder="1" applyAlignment="1">
      <x:alignment wrapText="0"/>
    </x:xf>
    <x:xf numFmtId="0" fontId="13" fillId="3" borderId="0" xfId="0" applyNumberFormat="1" applyFont="1" applyFill="1" applyBorder="1" applyAlignment="1">
      <x:alignment wrapText="0"/>
    </x:xf>
    <x:xf numFmtId="0" fontId="11" fillId="2" borderId="0" xfId="0" applyNumberFormat="1" applyFont="1" applyFill="1" applyBorder="1" applyAlignment="1">
      <x:alignment horizontal="left" wrapText="0"/>
    </x:xf>
    <x:xf numFmtId="0" fontId="14" fillId="3" borderId="1" xfId="0" applyNumberFormat="1" applyFont="1" applyFill="1" applyBorder="1" applyAlignment="1">
      <x:alignment wrapText="0"/>
    </x:xf>
    <x:xf numFmtId="0" fontId="14" fillId="3" borderId="2" xfId="0" applyNumberFormat="1" applyFont="1" applyFill="1" applyBorder="1" applyAlignment="1">
      <x:alignment wrapText="0"/>
    </x:xf>
    <x:xf numFmtId="0" fontId="14" fillId="3" borderId="3" xfId="0" applyNumberFormat="1" applyFont="1" applyFill="1" applyBorder="1" applyAlignment="1">
      <x:alignment wrapText="0"/>
    </x:xf>
    <x:xf numFmtId="200" fontId="12" fillId="0" borderId="0" xfId="0" applyNumberFormat="1" applyFont="1" applyFill="1" applyBorder="1" applyAlignment="1">
      <x:alignment wrapText="0"/>
    </x:xf>
    <x:xf numFmtId="201" fontId="12" fillId="0" borderId="0" xfId="0" applyNumberFormat="1" applyFont="1" applyFill="1" applyBorder="1" applyAlignment="1">
      <x:alignment wrapText="0"/>
    </x:xf>
    <x:xf numFmtId="202" fontId="12" fillId="0" borderId="0" xfId="0" applyNumberFormat="1" applyFont="1" applyFill="1" applyBorder="1" applyAlignment="1">
      <x:alignment wrapText="0"/>
    </x:xf>
    <x:xf numFmtId="0" fontId="14" fillId="3" borderId="4" xfId="0" applyNumberFormat="1" applyFont="1" applyFill="1" applyBorder="1"/>
    <x:xf numFmtId="0" fontId="14" fillId="3" borderId="5" xfId="0" applyNumberFormat="1" applyFont="1" applyFill="1" applyBorder="1"/>
    <x:xf numFmtId="0" fontId="12" fillId="0" borderId="6" xfId="0" applyNumberFormat="1" applyFont="1" applyFill="1" applyBorder="1"/>
    <x:xf numFmtId="0" fontId="12" fillId="0" borderId="7" xfId="0" applyNumberFormat="1" applyFont="1" applyFill="1" applyBorder="1"/>
    <x:xf numFmtId="0" fontId="15" fillId="0" borderId="7" xfId="0" applyNumberFormat="1" applyFont="1" applyFill="1" applyBorder="1" applyAlignment="1">
      <x:alignment wrapText="1"/>
    </x:xf>
    <x:xf numFmtId="0" fontId="12" fillId="0" borderId="7" xfId="0" applyNumberFormat="1" applyFont="1" applyFill="1" applyBorder="1" applyAlignment="1">
      <x:alignment wrapText="1"/>
    </x:xf>
    <x:xf numFmtId="0" fontId="12" fillId="0" borderId="8" xfId="0" applyNumberFormat="1" applyFont="1" applyFill="1" applyBorder="1"/>
    <x:xf numFmtId="0" fontId="12" fillId="0" borderId="9" xfId="0" applyNumberFormat="1" applyFont="1" applyFill="1" applyBorder="1"/>
    <x:xf numFmtId="0" fontId="15" fillId="0" borderId="9" xfId="0" applyNumberFormat="1" applyFont="1" applyFill="1" applyBorder="1" applyAlignment="1">
      <x:alignment wrapText="1"/>
    </x:xf>
    <x:xf numFmtId="0" fontId="12" fillId="0" borderId="9" xfId="0" applyNumberFormat="1" applyFont="1" applyFill="1" applyBorder="1" applyAlignment="1">
      <x:alignment wrapText="1"/>
    </x:xf>
    <x:xf numFmtId="0" fontId="14" fillId="3" borderId="4" xfId="0" applyNumberFormat="1" applyFont="1" applyFill="1" applyBorder="1" applyAlignment="1">
      <x:alignment wrapText="0"/>
    </x:xf>
    <x:xf numFmtId="0" fontId="14" fillId="3" borderId="5" xfId="0" applyNumberFormat="1" applyFont="1" applyFill="1" applyBorder="1" applyAlignment="1">
      <x:alignment wrapText="0"/>
    </x:xf>
    <x:xf numFmtId="0" fontId="12" fillId="0" borderId="6" xfId="0" applyNumberFormat="1" applyFont="1" applyFill="1" applyBorder="1" applyAlignment="1">
      <x:alignment wrapText="0"/>
    </x:xf>
    <x:xf numFmtId="0" fontId="12" fillId="0" borderId="7" xfId="0" applyNumberFormat="1" applyFont="1" applyFill="1" applyBorder="1" applyAlignment="1">
      <x:alignment wrapText="0"/>
    </x:xf>
    <x:xf numFmtId="0" fontId="15" fillId="0" borderId="7" xfId="0" applyNumberFormat="1" applyFont="1" applyFill="1" applyBorder="1" applyAlignment="1">
      <x:alignment wrapText="0"/>
    </x:xf>
    <x:xf numFmtId="0" fontId="12" fillId="0" borderId="8" xfId="0" applyNumberFormat="1" applyFont="1" applyFill="1" applyBorder="1" applyAlignment="1">
      <x:alignment wrapText="0"/>
    </x:xf>
    <x:xf numFmtId="0" fontId="12" fillId="0" borderId="9" xfId="0" applyNumberFormat="1" applyFont="1" applyFill="1" applyBorder="1" applyAlignment="1">
      <x:alignment wrapText="0"/>
    </x:xf>
    <x:xf numFmtId="0" fontId="15" fillId="0" borderId="9" xfId="0" applyNumberFormat="1" applyFont="1" applyFill="1" applyBorder="1" applyAlignment="1">
      <x:alignment wrapText="0"/>
    </x:xf>
    <x:xf numFmtId="201" fontId="16" fillId="4" borderId="0" xfId="0" applyNumberFormat="1" applyFont="1" applyFill="1" applyBorder="1"/>
    <x:xf numFmtId="0" fontId="16" fillId="4" borderId="0" xfId="0" applyNumberFormat="1" applyFont="1" applyFill="1" applyBorder="1"/>
    <x:xf numFmtId="203" fontId="16" fillId="4" borderId="0" xfId="0" applyNumberFormat="1" applyFont="1" applyFill="1" applyBorder="1"/>
    <x:xf numFmtId="202" fontId="16" fillId="4" borderId="0" xfId="0" applyNumberFormat="1" applyFont="1" applyFill="1" applyBorder="1"/>
    <x:xf numFmtId="201" fontId="17" fillId="0" borderId="0" xfId="0" applyNumberFormat="1" applyFont="1" applyFill="1" applyBorder="1"/>
    <x:xf numFmtId="204" fontId="16" fillId="4" borderId="0" xfId="0" applyNumberFormat="1" applyFont="1" applyFill="1" applyBorder="1"/>
    <x:xf numFmtId="205" fontId="16" fillId="4" borderId="0" xfId="0" applyNumberFormat="1" applyFont="1" applyFill="1" applyBorder="1"/>
    <x:xf numFmtId="200" fontId="16" fillId="4" borderId="0" xfId="0" applyNumberFormat="1" applyFont="1" applyFill="1" applyBorder="1"/>
    <x:xf numFmtId="201" fontId="16" fillId="4" borderId="0" xfId="0" applyNumberFormat="1" applyFont="1" applyFill="1" applyBorder="1" applyAlignment="1">
      <x:alignment wrapText="0"/>
    </x:xf>
    <x:xf numFmtId="0" fontId="16" fillId="4" borderId="0" xfId="0" applyNumberFormat="1" applyFont="1" applyFill="1" applyBorder="1" applyAlignment="1">
      <x:alignment wrapText="0"/>
    </x:xf>
    <x:xf numFmtId="203" fontId="16" fillId="4" borderId="0" xfId="0" applyNumberFormat="1" applyFont="1" applyFill="1" applyBorder="1" applyAlignment="1">
      <x:alignment wrapText="0"/>
    </x:xf>
    <x:xf numFmtId="202" fontId="16" fillId="4" borderId="0" xfId="0" applyNumberFormat="1" applyFont="1" applyFill="1" applyBorder="1" applyAlignment="1">
      <x:alignment wrapText="0"/>
    </x:xf>
    <x:xf numFmtId="201" fontId="17" fillId="0" borderId="0" xfId="0" applyNumberFormat="1" applyFont="1" applyFill="1" applyBorder="1" applyAlignment="1">
      <x:alignment wrapText="0"/>
    </x:xf>
    <x:xf numFmtId="204" fontId="16" fillId="4" borderId="0" xfId="0" applyNumberFormat="1" applyFont="1" applyFill="1" applyBorder="1" applyAlignment="1">
      <x:alignment wrapText="0"/>
    </x:xf>
    <x:xf numFmtId="205" fontId="16" fillId="4" borderId="0" xfId="0" applyNumberFormat="1" applyFont="1" applyFill="1" applyBorder="1" applyAlignment="1">
      <x:alignment wrapText="0"/>
    </x:xf>
    <x:xf numFmtId="200" fontId="16" fillId="4" borderId="0" xfId="0" applyNumberFormat="1" applyFont="1" applyFill="1" applyBorder="1" applyAlignment="1">
      <x:alignment wrapText="0"/>
    </x:xf>
    <x:xf numFmtId="0" fontId="18" fillId="0" borderId="0" xfId="0" applyNumberFormat="1" applyFont="1" applyFill="1" applyBorder="1"/>
    <x:xf numFmtId="201" fontId="17" fillId="4" borderId="0" xfId="0" applyNumberFormat="1" applyFont="1" applyFill="1" applyBorder="1"/>
    <x:xf numFmtId="0" fontId="13" fillId="5" borderId="0" xfId="0" applyNumberFormat="1" applyFont="1" applyFill="1" applyBorder="1"/>
    <x:xf numFmtId="205" fontId="14" fillId="5" borderId="0" xfId="0" applyNumberFormat="1" applyFont="1" applyFill="1" applyBorder="1"/>
    <x:xf numFmtId="0" fontId="13" fillId="5" borderId="10" xfId="0" applyNumberFormat="1" applyFont="1" applyFill="1" applyBorder="1"/>
    <x:xf numFmtId="201" fontId="14" fillId="5" borderId="10" xfId="0" applyNumberFormat="1" applyFont="1" applyFill="1" applyBorder="1"/>
    <x:xf numFmtId="205" fontId="19" fillId="5" borderId="0" xfId="0" applyNumberFormat="1" applyFont="1" applyFill="1" applyBorder="1"/>
    <x:xf numFmtId="205" fontId="14" fillId="5" borderId="10" xfId="0" applyNumberFormat="1" applyFont="1" applyFill="1" applyBorder="1"/>
    <x:xf numFmtId="0" fontId="18" fillId="0" borderId="0" xfId="0" applyNumberFormat="1" applyFont="1" applyFill="1" applyBorder="1" applyAlignment="1">
      <x:alignment wrapText="0"/>
    </x:xf>
    <x:xf numFmtId="201" fontId="17" fillId="4" borderId="0" xfId="0" applyNumberFormat="1" applyFont="1" applyFill="1" applyBorder="1" applyAlignment="1">
      <x:alignment wrapText="0"/>
    </x:xf>
    <x:xf numFmtId="0" fontId="13" fillId="5" borderId="0" xfId="0" applyNumberFormat="1" applyFont="1" applyFill="1" applyBorder="1" applyAlignment="1">
      <x:alignment wrapText="0"/>
    </x:xf>
    <x:xf numFmtId="205" fontId="14" fillId="5" borderId="0" xfId="0" applyNumberFormat="1" applyFont="1" applyFill="1" applyBorder="1" applyAlignment="1">
      <x:alignment wrapText="0"/>
    </x:xf>
    <x:xf numFmtId="0" fontId="13" fillId="5" borderId="10" xfId="0" applyNumberFormat="1" applyFont="1" applyFill="1" applyBorder="1" applyAlignment="1">
      <x:alignment wrapText="0"/>
    </x:xf>
    <x:xf numFmtId="201" fontId="14" fillId="5" borderId="10" xfId="0" applyNumberFormat="1" applyFont="1" applyFill="1" applyBorder="1" applyAlignment="1">
      <x:alignment wrapText="0"/>
    </x:xf>
    <x:xf numFmtId="205" fontId="19" fillId="5" borderId="0" xfId="0" applyNumberFormat="1" applyFont="1" applyFill="1" applyBorder="1" applyAlignment="1">
      <x:alignment wrapText="0"/>
    </x:xf>
    <x:xf numFmtId="205" fontId="14" fillId="5" borderId="10" xfId="0" applyNumberFormat="1" applyFont="1" applyFill="1" applyBorder="1" applyAlignment="1">
      <x:alignment wrapText="0"/>
    </x:xf>
    <x:xf numFmtId="205" fontId="18" fillId="0" borderId="0" xfId="0" applyNumberFormat="1" applyFont="1" applyFill="1" applyBorder="1"/>
    <x:xf numFmtId="205" fontId="17" fillId="0" borderId="0" xfId="0" applyNumberFormat="1" applyFont="1" applyFill="1" applyBorder="1"/>
    <x:xf numFmtId="201" fontId="18" fillId="0" borderId="0" xfId="0" applyNumberFormat="1" applyFont="1" applyFill="1" applyBorder="1"/>
    <x:xf numFmtId="205" fontId="20" fillId="5" borderId="10" xfId="0" applyNumberFormat="1" applyFont="1" applyFill="1" applyBorder="1"/>
    <x:xf numFmtId="205" fontId="18" fillId="0" borderId="0" xfId="0" applyNumberFormat="1" applyFont="1" applyFill="1" applyBorder="1" applyAlignment="1">
      <x:alignment wrapText="0"/>
    </x:xf>
    <x:xf numFmtId="205" fontId="17" fillId="0" borderId="0" xfId="0" applyNumberFormat="1" applyFont="1" applyFill="1" applyBorder="1" applyAlignment="1">
      <x:alignment wrapText="0"/>
    </x:xf>
    <x:xf numFmtId="201" fontId="18" fillId="0" borderId="0" xfId="0" applyNumberFormat="1" applyFont="1" applyFill="1" applyBorder="1" applyAlignment="1">
      <x:alignment wrapText="0"/>
    </x:xf>
    <x:xf numFmtId="205" fontId="20" fillId="5" borderId="10" xfId="0" applyNumberFormat="1" applyFont="1" applyFill="1" applyBorder="1" applyAlignment="1">
      <x:alignment wrapText="0"/>
    </x:xf>
    <x:xf numFmtId="205" fontId="14" fillId="2" borderId="0" xfId="0" applyNumberFormat="1" applyFont="1" applyFill="1" applyBorder="1" applyAlignment="1">
      <x:alignment horizontal="left"/>
    </x:xf>
    <x:xf numFmtId="205" fontId="14" fillId="3" borderId="2" xfId="0" applyNumberFormat="1" applyFont="1" applyFill="1" applyBorder="1"/>
    <x:xf numFmtId="205" fontId="14" fillId="3" borderId="3" xfId="0" applyNumberFormat="1" applyFont="1" applyFill="1" applyBorder="1"/>
    <x:xf numFmtId="205" fontId="14" fillId="2" borderId="0" xfId="0" applyNumberFormat="1" applyFont="1" applyFill="1" applyBorder="1" applyAlignment="1">
      <x:alignment horizontal="left" wrapText="0"/>
    </x:xf>
    <x:xf numFmtId="205" fontId="14" fillId="3" borderId="2" xfId="0" applyNumberFormat="1" applyFont="1" applyFill="1" applyBorder="1" applyAlignment="1">
      <x:alignment wrapText="0"/>
    </x:xf>
    <x:xf numFmtId="205" fontId="14" fillId="3" borderId="3" xfId="0" applyNumberFormat="1" applyFont="1" applyFill="1" applyBorder="1" applyAlignment="1">
      <x:alignment wrapText="0"/>
    </x:xf>
    <x:xf numFmtId="205" fontId="12" fillId="0" borderId="0" xfId="0" applyNumberFormat="1" applyFont="1" applyFill="1" applyBorder="1"/>
    <x:xf numFmtId="205" fontId="13" fillId="5" borderId="10" xfId="0" applyNumberFormat="1" applyFont="1" applyFill="1" applyBorder="1"/>
    <x:xf numFmtId="206" fontId="12" fillId="0" borderId="0" xfId="0" applyNumberFormat="1" applyFont="1" applyFill="1" applyBorder="1"/>
    <x:xf numFmtId="204" fontId="12" fillId="0" borderId="0" xfId="0" applyNumberFormat="1" applyFont="1" applyFill="1" applyBorder="1"/>
    <x:xf numFmtId="204" fontId="13" fillId="5" borderId="0" xfId="0" applyNumberFormat="1" applyFont="1" applyFill="1" applyBorder="1"/>
    <x:xf numFmtId="200" fontId="13" fillId="5" borderId="0" xfId="0" applyNumberFormat="1" applyFont="1" applyFill="1" applyBorder="1"/>
    <x:xf numFmtId="200" fontId="13" fillId="5" borderId="10" xfId="0" applyNumberFormat="1" applyFont="1" applyFill="1" applyBorder="1"/>
    <x:xf numFmtId="201" fontId="19" fillId="4" borderId="2" xfId="0" applyNumberFormat="1" applyFont="1" applyFill="1" applyBorder="1"/>
    <x:xf numFmtId="201" fontId="19" fillId="4" borderId="3" xfId="0" applyNumberFormat="1" applyFont="1" applyFill="1" applyBorder="1"/>
    <x:xf numFmtId="205" fontId="12" fillId="0" borderId="0" xfId="0" applyNumberFormat="1" applyFont="1" applyFill="1" applyBorder="1" applyAlignment="1">
      <x:alignment wrapText="0"/>
    </x:xf>
    <x:xf numFmtId="205" fontId="13" fillId="5" borderId="10" xfId="0" applyNumberFormat="1" applyFont="1" applyFill="1" applyBorder="1" applyAlignment="1">
      <x:alignment wrapText="0"/>
    </x:xf>
    <x:xf numFmtId="206" fontId="12" fillId="0" borderId="0" xfId="0" applyNumberFormat="1" applyFont="1" applyFill="1" applyBorder="1" applyAlignment="1">
      <x:alignment wrapText="0"/>
    </x:xf>
    <x:xf numFmtId="204" fontId="12" fillId="0" borderId="0" xfId="0" applyNumberFormat="1" applyFont="1" applyFill="1" applyBorder="1" applyAlignment="1">
      <x:alignment wrapText="0"/>
    </x:xf>
    <x:xf numFmtId="204" fontId="13" fillId="5" borderId="0" xfId="0" applyNumberFormat="1" applyFont="1" applyFill="1" applyBorder="1" applyAlignment="1">
      <x:alignment wrapText="0"/>
    </x:xf>
    <x:xf numFmtId="200" fontId="13" fillId="5" borderId="0" xfId="0" applyNumberFormat="1" applyFont="1" applyFill="1" applyBorder="1" applyAlignment="1">
      <x:alignment wrapText="0"/>
    </x:xf>
    <x:xf numFmtId="200" fontId="13" fillId="5" borderId="10" xfId="0" applyNumberFormat="1" applyFont="1" applyFill="1" applyBorder="1" applyAlignment="1">
      <x:alignment wrapText="0"/>
    </x:xf>
    <x:xf numFmtId="201" fontId="19" fillId="4" borderId="2" xfId="0" applyNumberFormat="1" applyFont="1" applyFill="1" applyBorder="1" applyAlignment="1">
      <x:alignment wrapText="0"/>
    </x:xf>
    <x:xf numFmtId="201" fontId="19" fillId="4" borderId="3" xfId="0" applyNumberFormat="1" applyFont="1" applyFill="1" applyBorder="1" applyAlignment="1">
      <x:alignment wrapText="0"/>
    </x:xf>
    <x:xf numFmtId="202" fontId="17" fillId="0" borderId="0" xfId="0" applyNumberFormat="1" applyFont="1" applyFill="1" applyBorder="1"/>
    <x:xf numFmtId="202" fontId="14" fillId="5" borderId="10" xfId="0" applyNumberFormat="1" applyFont="1" applyFill="1" applyBorder="1"/>
    <x:xf numFmtId="204" fontId="13" fillId="5" borderId="10" xfId="0" applyNumberFormat="1" applyFont="1" applyFill="1" applyBorder="1"/>
    <x:xf numFmtId="202" fontId="13" fillId="5" borderId="10" xfId="0" applyNumberFormat="1" applyFont="1" applyFill="1" applyBorder="1"/>
    <x:xf numFmtId="202" fontId="17" fillId="0" borderId="0" xfId="0" applyNumberFormat="1" applyFont="1" applyFill="1" applyBorder="1" applyAlignment="1">
      <x:alignment wrapText="0"/>
    </x:xf>
    <x:xf numFmtId="202" fontId="14" fillId="5" borderId="10" xfId="0" applyNumberFormat="1" applyFont="1" applyFill="1" applyBorder="1" applyAlignment="1">
      <x:alignment wrapText="0"/>
    </x:xf>
    <x:xf numFmtId="204" fontId="13" fillId="5" borderId="10" xfId="0" applyNumberFormat="1" applyFont="1" applyFill="1" applyBorder="1" applyAlignment="1">
      <x:alignment wrapText="0"/>
    </x:xf>
    <x:xf numFmtId="202" fontId="13" fillId="5" borderId="10" xfId="0" applyNumberFormat="1" applyFont="1" applyFill="1" applyBorder="1" applyAlignment="1">
      <x:alignment wrapText="0"/>
    </x:xf>
    <x:xf numFmtId="0" fontId="12" fillId="6" borderId="0" xfId="0" applyNumberFormat="1" applyFont="1" applyFill="1" applyBorder="1" applyAlignment="1">
      <x:alignment vertical="top" wrapText="1"/>
    </x:xf>
    <x:xf numFmtId="0" fontId="12" fillId="6" borderId="0" xfId="0" applyNumberFormat="1" applyFont="1" applyFill="1" applyBorder="1" applyAlignment="1">
      <x:alignment vertical="top" wrapText="0"/>
    </x:xf>
    <x:xf numFmtId="0" fontId="11" fillId="2" borderId="0" xfId="0" applyNumberFormat="1" applyFont="1" applyFill="1" applyBorder="1" applyAlignment="1">
      <x:alignment horizontal="left" wrapText="1"/>
    </x:xf>
    <x:xf numFmtId="0" fontId="13" fillId="5" borderId="1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b6fd99c3e9479e" /><Relationship Type="http://schemas.openxmlformats.org/officeDocument/2006/relationships/theme" Target="/xl/theme/theme1.xml" Id="R61cf010ddb2f4327" /><Relationship Type="http://schemas.openxmlformats.org/officeDocument/2006/relationships/sharedStrings" Target="/xl/sharedStrings.xml" Id="R615f1e46fe384085" /><Relationship Type="http://schemas.openxmlformats.org/officeDocument/2006/relationships/worksheet" Target="/xl/worksheets/sheet1.xml" Id="R45796254b903464d" /><Relationship Type="http://schemas.openxmlformats.org/officeDocument/2006/relationships/worksheet" Target="/xl/worksheets/sheet2.xml" Id="R5101b198b8614148" /><Relationship Type="http://schemas.openxmlformats.org/officeDocument/2006/relationships/worksheet" Target="/xl/worksheets/sheet3.xml" Id="R853c7f2280ce4185" /><Relationship Type="http://schemas.openxmlformats.org/officeDocument/2006/relationships/worksheet" Target="/xl/worksheets/sheet4.xml" Id="Rc1b5b0b537674645" /><Relationship Type="http://schemas.openxmlformats.org/officeDocument/2006/relationships/worksheet" Target="/xl/worksheets/sheet5.xml" Id="Rb23ca3287aa2425d" /><Relationship Type="http://schemas.openxmlformats.org/officeDocument/2006/relationships/worksheet" Target="/xl/worksheets/sheet6.xml" Id="Re014fc4b11014e50" /><Relationship Type="http://schemas.openxmlformats.org/officeDocument/2006/relationships/worksheet" Target="/xl/worksheets/sheet7.xml" Id="Rffa99d42aca54fba" /><Relationship Type="http://schemas.openxmlformats.org/officeDocument/2006/relationships/worksheet" Target="/xl/worksheets/sheet8.xml" Id="R065a15c6f444479f" /><Relationship Type="http://schemas.openxmlformats.org/officeDocument/2006/relationships/worksheet" Target="/xl/worksheets/sheet9.xml" Id="Rc114d02c52194e39" /><Relationship Type="http://schemas.openxmlformats.org/officeDocument/2006/relationships/worksheet" Target="/xl/worksheets/sheet10.xml" Id="R9ffbdf746ff44610" /><Relationship Type="http://schemas.openxmlformats.org/officeDocument/2006/relationships/worksheet" Target="/xl/worksheets/sheet11.xml" Id="Ra8313924c722433e" /><Relationship Type="http://schemas.openxmlformats.org/officeDocument/2006/relationships/worksheet" Target="/xl/worksheets/sheet12.xml" Id="R5f0592f52f6540a1" /><Relationship Type="http://schemas.microsoft.com/office/2017/10/relationships/person" Target="/xl/persons/person.xml" Id="R6a923bf7fa754572" /></Relationships>
</file>

<file path=xl/persons/person.xml><?xml version="1.0" encoding="utf-8"?>
<xltc:personList xmlns:xltc="http://schemas.microsoft.com/office/spreadsheetml/2018/threadedcomments">
  <xltc:person displayName="User" id="{5ADBF688-8E05-4010-AEF3-83B30E22F326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21" dT="2026-06-30T23:03:03.834" personId="{5ADBF688-8E05-4010-AEF3-83B30E22F326}" id="{C442DAF0-A531-217B-D815-5903A16A6D07}">
    <xltc:text>Source required: current India 10-year government bond yield as of valuation date.</xltc:text>
  </xltc:threadedComment>
  <xltc:threadedComment ref="B22" dT="2026-06-30T23:03:03.835" personId="{5ADBF688-8E05-4010-AEF3-83B30E22F326}" id="{021B576E-5E20-ED20-DB8B-AED1B8AFD8F0}">
    <xltc:text>Source required: levered beta from market data provider; note if adjusted or raw.</xltc:text>
  </xltc:threadedComment>
  <xltc:threadedComment ref="B23" dT="2026-06-30T23:03:03.835" personId="{5ADBF688-8E05-4010-AEF3-83B30E22F326}" id="{35C9F540-48A3-F3DF-EF29-1DFF2A59B432}">
    <xltc:text>Source required: equity risk premium, preferably Damodaran ERP data with date/version.</xltc:text>
  </xltc:threadedComment>
  <xltc:threadedComment ref="B33" dT="2026-06-30T23:03:03.835" personId="{5ADBF688-8E05-4010-AEF3-83B30E22F326}" id="{91A25FB1-5A09-4835-8769-8203F660286A}">
    <xltc:text>Source required: diluted share count from latest filing / exchange data.</xltc:text>
  </xltc:threadedComment>
</xltc:ThreadedComment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e91a902d30904dd6" /><Relationship Type="http://schemas.openxmlformats.org/officeDocument/2006/relationships/vmlDrawing" Target="/xl/drawings/vmldrawing.vml" Id="R5be19fa5f8f74f27" /><Relationship Type="http://schemas.microsoft.com/office/2017/10/relationships/threadedComment" Target="/xl/threadedcomments/threadedcomment.xml" Id="R83a44d6c71c848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4" hidden="0" customWidth="1"/>
    <x:col min="4" max="4" width="22" hidden="0" customWidth="1"/>
    <x:col min="5" max="5" width="18" hidden="0" customWidth="1"/>
    <x:col min="6" max="6" width="18" hidden="0" customWidth="1"/>
    <x:col min="7" max="7" width="4" hidden="0" customWidth="1"/>
    <x:col min="8" max="8" width="22" hidden="0" customWidth="1"/>
    <x:col min="9" max="9" width="18" hidden="0" customWidth="1"/>
  </x:cols>
  <x:sheetData>
    <x:row r="1">
      <x:c r="A1" s="102" t="str">
        <x:v>Eternal Limited Equity Valuation Model</x:v>
      </x:c>
      <x:c r="B1" s="102" t="str">
        <x:v>Eternal Limited Equity Valuation Model</x:v>
      </x:c>
      <x:c r="C1" s="102" t="str">
        <x:v>Eternal Limited Equity Valuation Model</x:v>
      </x:c>
      <x:c r="D1" s="102" t="str">
        <x:v>Eternal Limited Equity Valuation Model</x:v>
      </x:c>
      <x:c r="E1" s="102" t="str">
        <x:v>Eternal Limited Equity Valuation Model</x:v>
      </x:c>
      <x:c r="F1" s="102" t="str">
        <x:v>Eternal Limited Equity Valuation Model</x:v>
      </x:c>
      <x:c r="G1" s="102" t="str">
        <x:v>Eternal Limited Equity Valuation Model</x:v>
      </x:c>
      <x:c r="H1" s="102" t="str">
        <x:v>Eternal Limited Equity Valuation Model</x:v>
      </x:c>
      <x:c r="I1" s="102" t="str">
        <x:v>Eternal Limited Equity Valuation Model</x:v>
      </x:c>
    </x:row>
    <x:row r="2">
      <x:c r="A2" s="103"/>
      <x:c r="B2" s="103"/>
      <x:c r="C2" s="103"/>
      <x:c r="D2" s="103"/>
      <x:c r="E2" s="103"/>
      <x:c r="F2" s="103"/>
      <x:c r="G2" s="103"/>
      <x:c r="H2" s="103"/>
      <x:c r="I2" s="103"/>
    </x:row>
    <x:row r="3">
      <x:c r="A3" s="104" t="str">
        <x:v>Company</x:v>
      </x:c>
      <x:c r="B3" s="94" t="str">
        <x:v>Eternal Limited (formerly Zomato)</x:v>
      </x:c>
      <x:c r="C3" s="103"/>
      <x:c r="D3" s="105" t="str">
        <x:v>Key Outputs</x:v>
      </x:c>
      <x:c r="E3" s="105" t="str">
        <x:v>Key Outputs</x:v>
      </x:c>
      <x:c r="F3" s="105" t="str">
        <x:v>Key Outputs</x:v>
      </x:c>
      <x:c r="G3" s="105" t="str">
        <x:v>Key Outputs</x:v>
      </x:c>
      <x:c r="H3" s="105" t="str">
        <x:v>Key Outputs</x:v>
      </x:c>
      <x:c r="I3" s="105" t="str">
        <x:v>Key Outputs</x:v>
      </x:c>
    </x:row>
    <x:row r="4">
      <x:c r="A4" s="104" t="str">
        <x:v>Project</x:v>
      </x:c>
      <x:c r="B4" s="94" t="str">
        <x:v>Full equity valuation model: 3-statement shell + DCF + comps + precedents</x:v>
      </x:c>
      <x:c r="C4" s="103"/>
      <x:c r="D4" s="106" t="str">
        <x:v>Metric</x:v>
      </x:c>
      <x:c r="E4" s="107" t="str">
        <x:v>Value</x:v>
      </x:c>
      <x:c r="F4" s="107" t="str">
        <x:v>Source</x:v>
      </x:c>
      <x:c r="G4" s="107" t="str"/>
      <x:c r="H4" s="107" t="str">
        <x:v>Metric</x:v>
      </x:c>
      <x:c r="I4" s="108" t="str">
        <x:v>Value</x:v>
      </x:c>
    </x:row>
    <x:row r="5">
      <x:c r="A5" s="104" t="str">
        <x:v>Primary use</x:v>
      </x:c>
      <x:c r="B5" s="94" t="str">
        <x:v>JPMC / investment banking interview project</x:v>
      </x:c>
      <x:c r="C5" s="103"/>
      <x:c r="D5" s="103" t="str">
        <x:v>Model status</x:v>
      </x:c>
      <x:c r="E5" s="103" t="str">
        <x:f>'Checks'!F14</x:f>
        <x:v>Phase 1 - needs source inputs</x:v>
      </x:c>
      <x:c r="F5" s="103" t="str">
        <x:v>Checks</x:v>
      </x:c>
      <x:c r="G5" s="103" t="str"/>
      <x:c r="H5" s="103" t="str">
        <x:v>DCF target price</x:v>
      </x:c>
      <x:c r="I5" s="103"/>
    </x:row>
    <x:row r="6">
      <x:c r="A6" s="104" t="str">
        <x:v>Currency / units</x:v>
      </x:c>
      <x:c r="B6" s="94" t="str">
        <x:v>INR crores unless stated otherwise</x:v>
      </x:c>
      <x:c r="C6" s="103"/>
      <x:c r="D6" s="103" t="str">
        <x:v>DCF value / share</x:v>
      </x:c>
      <x:c r="E6" s="109" t="n">
        <x:f>'DCF'!D29</x:f>
        <x:v>0</x:v>
      </x:c>
      <x:c r="F6" s="109" t="str">
        <x:v>DCF</x:v>
      </x:c>
      <x:c r="G6" s="109" t="str"/>
      <x:c r="H6" s="109" t="str">
        <x:v>Comps value / share</x:v>
      </x:c>
      <x:c r="I6" s="109" t="n">
        <x:f>'Trading Comps'!H18</x:f>
        <x:v>0</x:v>
      </x:c>
    </x:row>
    <x:row r="7">
      <x:c r="A7" s="104" t="str">
        <x:v>Historical period</x:v>
      </x:c>
      <x:c r="B7" s="94" t="str">
        <x:v>FY22A-FY26A input-ready</x:v>
      </x:c>
      <x:c r="C7" s="103"/>
      <x:c r="D7" s="103" t="str">
        <x:v>Precedents value / share</x:v>
      </x:c>
      <x:c r="E7" s="109" t="n">
        <x:f>AVERAGE('Precedents'!G14:G15)</x:f>
        <x:v>0</x:v>
      </x:c>
      <x:c r="F7" s="109" t="str">
        <x:v>Precedents</x:v>
      </x:c>
      <x:c r="G7" s="109" t="str"/>
      <x:c r="H7" s="109" t="str">
        <x:v>Football field low</x:v>
      </x:c>
      <x:c r="I7" s="109" t="n">
        <x:f>'Football Field'!B8</x:f>
        <x:v>0</x:v>
      </x:c>
    </x:row>
    <x:row r="8">
      <x:c r="A8" s="104" t="str">
        <x:v>Forecast period</x:v>
      </x:c>
      <x:c r="B8" s="94" t="str">
        <x:v>FY27E-FY31E</x:v>
      </x:c>
      <x:c r="C8" s="103"/>
      <x:c r="D8" s="103" t="str">
        <x:v>Football field high</x:v>
      </x:c>
      <x:c r="E8" s="109" t="n">
        <x:f>'Football Field'!D8</x:f>
        <x:v>0</x:v>
      </x:c>
      <x:c r="F8" s="109" t="str">
        <x:v>Football Field</x:v>
      </x:c>
      <x:c r="G8" s="109" t="str"/>
      <x:c r="H8" s="109" t="str">
        <x:v>Recommendation</x:v>
      </x:c>
      <x:c r="I8" s="109" t="str">
        <x:f>'Thesis'!B10</x:f>
        <x:v>Hold</x:v>
      </x:c>
    </x:row>
    <x:row r="9">
      <x:c r="A9" s="104" t="str">
        <x:v>Valuation date</x:v>
      </x:c>
      <x:c r="B9" s="94" t="str">
        <x:v>2026-07-01</x:v>
      </x:c>
      <x:c r="C9" s="103"/>
      <x:c r="D9" s="103" t="str">
        <x:v>WACC</x:v>
      </x:c>
      <x:c r="E9" s="110" t="n">
        <x:f>'Assumptions'!B31</x:f>
        <x:v>0.1314375</x:v>
      </x:c>
      <x:c r="F9" s="110" t="str">
        <x:v>Assumptions</x:v>
      </x:c>
      <x:c r="G9" s="110" t="str"/>
      <x:c r="H9" s="110" t="str">
        <x:v>Terminal growth</x:v>
      </x:c>
      <x:c r="I9" s="110" t="n">
        <x:f>'Assumptions'!B35</x:f>
        <x:v>0.04</x:v>
      </x:c>
    </x:row>
    <x:row r="10">
      <x:c r="A10" s="104" t="str">
        <x:v>Current phase</x:v>
      </x:c>
      <x:c r="B10" s="94" t="str">
        <x:v>Phase 1: linked model shell and data map</x:v>
      </x:c>
      <x:c r="C10" s="103"/>
      <x:c r="D10" s="103" t="str">
        <x:v>Exit multiple</x:v>
      </x:c>
      <x:c r="E10" s="111" t="n">
        <x:f>'Assumptions'!B36</x:f>
        <x:v>25</x:v>
      </x:c>
      <x:c r="F10" s="103" t="str">
        <x:v>Assumptions</x:v>
      </x:c>
      <x:c r="G10" s="103" t="str"/>
      <x:c r="H10" s="103" t="str">
        <x:v>Scenario</x:v>
      </x:c>
      <x:c r="I10" s="103" t="str">
        <x:v>Base case</x:v>
      </x:c>
    </x:row>
    <x:row r="11">
      <x:c r="A11" s="104" t="str">
        <x:v>Chosen case</x:v>
      </x:c>
      <x:c r="B11" s="94" t="str">
        <x:v>Eternal was selected over a bank because the target artifact requires DCF, EV multiples, and a football field.</x:v>
      </x:c>
      <x:c r="C11" s="103"/>
      <x:c r="D11" s="103"/>
      <x:c r="E11" s="103"/>
      <x:c r="F11" s="103"/>
      <x:c r="G11" s="103"/>
      <x:c r="H11" s="103"/>
      <x:c r="I11" s="103"/>
    </x:row>
    <x:row r="12">
      <x:c r="A12" s="104" t="str">
        <x:v>Next milestone</x:v>
      </x:c>
      <x:c r="B12" s="94" t="str">
        <x:v>Populate FY22-FY26 actuals from annual reports/results and lock source comments.</x:v>
      </x:c>
      <x:c r="C12" s="103"/>
      <x:c r="D12" s="103"/>
      <x:c r="E12" s="103"/>
      <x:c r="F12" s="103"/>
      <x:c r="G12" s="103"/>
      <x:c r="H12" s="103"/>
      <x:c r="I12" s="103"/>
    </x:row>
    <x:row r="13">
      <x:c r="A13" s="103"/>
      <x:c r="B13" s="94"/>
      <x:c r="C13" s="103"/>
      <x:c r="D13" s="103"/>
      <x:c r="E13" s="103"/>
      <x:c r="F13" s="103"/>
      <x:c r="G13" s="103"/>
      <x:c r="H13" s="103"/>
      <x:c r="I13" s="103"/>
    </x:row>
    <x:row r="14">
      <x:c r="A14" s="103"/>
      <x:c r="B14" s="94"/>
      <x:c r="C14" s="103"/>
      <x:c r="D14" s="103"/>
      <x:c r="E14" s="103"/>
      <x:c r="F14" s="103"/>
      <x:c r="G14" s="103"/>
      <x:c r="H14" s="103"/>
      <x:c r="I14" s="103"/>
    </x:row>
    <x:row r="15">
      <x:c r="A15" s="104" t="str">
        <x:v>Color convention</x:v>
      </x:c>
      <x:c r="B15" s="94" t="str">
        <x:v>Blue text / yellow fill = editable assumption; black = formula; green = linked worksheet reference</x:v>
      </x:c>
      <x:c r="C15" s="103" t="str"/>
      <x:c r="D15" s="103" t="str"/>
      <x:c r="E15" s="103" t="str"/>
      <x:c r="F15" s="103" t="str"/>
      <x:c r="G15" s="103" t="str"/>
      <x:c r="H15" s="103" t="str"/>
      <x:c r="I15" s="103" t="str"/>
    </x:row>
    <x:row r="16">
      <x:c r="A16" s="104" t="str">
        <x:v>Implementation note</x:v>
      </x:c>
      <x:c r="B16" s="94" t="str">
        <x:v>This workbook is intentionally source-first. It computes cleanly now, and it is ready for filing-backed values to be entered without changing formulas.</x:v>
      </x:c>
      <x:c r="C16" s="103" t="str"/>
      <x:c r="D16" s="103" t="str"/>
      <x:c r="E16" s="103" t="str"/>
      <x:c r="F16" s="103" t="str"/>
      <x:c r="G16" s="103" t="str"/>
      <x:c r="H16" s="103" t="str"/>
      <x:c r="I16" s="103" t="str"/>
    </x:row>
    <x:row r="17">
      <x:c r="A17" s="104" t="str">
        <x:v>Interview angle</x:v>
      </x:c>
      <x:c r="B17" s="94" t="str">
        <x:v>Eternal gives a defensible discussion around food delivery, quick commerce, margin expansion, competition, and whether a sum-of-the-parts frame is warranted.</x:v>
      </x:c>
      <x:c r="C17" s="103" t="str"/>
      <x:c r="D17" s="103" t="str"/>
      <x:c r="E17" s="103" t="str"/>
      <x:c r="F17" s="103" t="str"/>
      <x:c r="G17" s="103" t="str"/>
      <x:c r="H17" s="103" t="str"/>
      <x:c r="I17" s="103" t="str"/>
    </x:row>
    <x:row r="18">
      <x:c r="A18" s="104" t="str">
        <x:v>Known limitation</x:v>
      </x:c>
      <x:c r="B18" s="94" t="str">
        <x:v>Historical statements are blank input ranges in Phase 1. Do not use outputs as an investment recommendation until actuals and market data are tied.</x:v>
      </x:c>
      <x:c r="C18" s="103" t="str"/>
      <x:c r="D18" s="103" t="str"/>
      <x:c r="E18" s="103" t="str"/>
      <x:c r="F18" s="103" t="str"/>
      <x:c r="G18" s="103" t="str"/>
      <x:c r="H18" s="103" t="str"/>
      <x:c r="I18" s="103" t="str"/>
    </x:row>
  </x:sheetData>
  <x:mergeCells>
    <x:mergeCell ref="A1:I1"/>
    <x:mergeCell ref="D3:I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8" hidden="0" customWidth="1"/>
    <x:col min="3" max="3" width="18" hidden="0" customWidth="1"/>
    <x:col min="4" max="4" width="12" hidden="0" customWidth="1"/>
    <x:col min="5" max="5" width="12" hidden="0" customWidth="1"/>
    <x:col min="6" max="6" width="26" hidden="0" customWidth="1"/>
    <x:col min="7" max="7" width="54" hidden="0" customWidth="1"/>
    <x:col min="8" max="8" width="34" hidden="0" customWidth="1"/>
    <x:col min="9" max="9" width="42" hidden="0" customWidth="1"/>
  </x:cols>
  <x:sheetData>
    <x:row r="1">
      <x:c r="A1" s="102" t="str">
        <x:v>Sources &amp; Audit Trail</x:v>
      </x:c>
      <x:c r="B1" s="102" t="str">
        <x:v>Sources &amp; Audit Trail</x:v>
      </x:c>
      <x:c r="C1" s="102" t="str">
        <x:v>Sources &amp; Audit Trail</x:v>
      </x:c>
      <x:c r="D1" s="102" t="str">
        <x:v>Sources &amp; Audit Trail</x:v>
      </x:c>
      <x:c r="E1" s="102" t="str">
        <x:v>Sources &amp; Audit Trail</x:v>
      </x:c>
      <x:c r="F1" s="102" t="str">
        <x:v>Sources &amp; Audit Trail</x:v>
      </x:c>
      <x:c r="G1" s="102" t="str">
        <x:v>Sources &amp; Audit Trail</x:v>
      </x:c>
      <x:c r="H1" s="102" t="str">
        <x:v>Sources &amp; Audit Trail</x:v>
      </x:c>
      <x:c r="I1" s="102" t="str">
        <x:v>Sources &amp; Audit Trail</x:v>
      </x:c>
    </x:row>
    <x:row r="2">
      <x:c r="A2" s="103"/>
      <x:c r="B2" s="103"/>
      <x:c r="C2" s="103"/>
      <x:c r="D2" s="103"/>
      <x:c r="E2" s="103"/>
      <x:c r="F2" s="103"/>
      <x:c r="G2" s="103"/>
      <x:c r="H2" s="103"/>
      <x:c r="I2" s="103"/>
    </x:row>
    <x:row r="3">
      <x:c r="A3" s="122" t="str">
        <x:v>Source ID</x:v>
      </x:c>
      <x:c r="B3" s="123" t="str">
        <x:v>Item</x:v>
      </x:c>
      <x:c r="C3" s="123" t="str">
        <x:v>Period / as-of</x:v>
      </x:c>
      <x:c r="D3" s="123" t="str">
        <x:v>Value</x:v>
      </x:c>
      <x:c r="E3" s="123" t="str">
        <x:v>Units</x:v>
      </x:c>
      <x:c r="F3" s="123" t="str">
        <x:v>Source name</x:v>
      </x:c>
      <x:c r="G3" s="123" t="str">
        <x:v>Plain URL</x:v>
      </x:c>
      <x:c r="H3" s="123" t="str">
        <x:v>Model use</x:v>
      </x:c>
      <x:c r="I3" s="123" t="str">
        <x:v>Status / notes</x:v>
      </x:c>
    </x:row>
    <x:row r="4">
      <x:c r="A4" s="124" t="str">
        <x:v>S1</x:v>
      </x:c>
      <x:c r="B4" s="125" t="str">
        <x:v>Investor relations landing page</x:v>
      </x:c>
      <x:c r="C4" s="125" t="str">
        <x:v>Current</x:v>
      </x:c>
      <x:c r="D4" s="125"/>
      <x:c r="E4" s="125"/>
      <x:c r="F4" s="125" t="str">
        <x:v>Eternal Investor Relations</x:v>
      </x:c>
      <x:c r="G4" s="116" t="str">
        <x:v>https://www.eternal.com/investor-relations</x:v>
      </x:c>
      <x:c r="H4" s="117" t="str">
        <x:v>Primary source hub for results, annual reports, governance</x:v>
      </x:c>
      <x:c r="I4" s="117" t="str">
        <x:v>Use official downloads when populating actuals.</x:v>
      </x:c>
    </x:row>
    <x:row r="5">
      <x:c r="A5" s="124" t="str">
        <x:v>S2</x:v>
      </x:c>
      <x:c r="B5" s="125" t="str">
        <x:v>FY26 / latest quarterly shareholder letter</x:v>
      </x:c>
      <x:c r="C5" s="125" t="str">
        <x:v>FY26 / latest available</x:v>
      </x:c>
      <x:c r="D5" s="125"/>
      <x:c r="E5" s="125" t="str">
        <x:v>INR cr</x:v>
      </x:c>
      <x:c r="F5" s="125" t="str">
        <x:v>Eternal results page</x:v>
      </x:c>
      <x:c r="G5" s="116" t="str">
        <x:v>https://www.eternal.com/investor-relations/results/</x:v>
      </x:c>
      <x:c r="H5" s="117" t="str">
        <x:v>Latest actuals and segment commentary</x:v>
      </x:c>
      <x:c r="I5" s="117" t="str">
        <x:v>Pull official PDF before locking FY26 actuals.</x:v>
      </x:c>
    </x:row>
    <x:row r="6">
      <x:c r="A6" s="124" t="str">
        <x:v>S3</x:v>
      </x:c>
      <x:c r="B6" s="125" t="str">
        <x:v>Annual reports</x:v>
      </x:c>
      <x:c r="C6" s="125" t="str">
        <x:v>FY22-FY25</x:v>
      </x:c>
      <x:c r="D6" s="125"/>
      <x:c r="E6" s="125" t="str">
        <x:v>INR cr</x:v>
      </x:c>
      <x:c r="F6" s="125" t="str">
        <x:v>Eternal annual reports page</x:v>
      </x:c>
      <x:c r="G6" s="116" t="str">
        <x:v>https://www.eternal.com/investor-relations/annual-reports/</x:v>
      </x:c>
      <x:c r="H6" s="117" t="str">
        <x:v>Historical 3-statement source</x:v>
      </x:c>
      <x:c r="I6" s="117" t="str">
        <x:v>Download annual reports and tie each line item.</x:v>
      </x:c>
    </x:row>
    <x:row r="7">
      <x:c r="A7" s="124" t="str">
        <x:v>S4</x:v>
      </x:c>
      <x:c r="B7" s="125" t="str">
        <x:v>NSE company filings</x:v>
      </x:c>
      <x:c r="C7" s="125" t="str">
        <x:v>Current</x:v>
      </x:c>
      <x:c r="D7" s="125"/>
      <x:c r="E7" s="125"/>
      <x:c r="F7" s="125" t="str">
        <x:v>NSE filings</x:v>
      </x:c>
      <x:c r="G7" s="116" t="str">
        <x:v>https://www.nseindia.com/companies-listing/corporate-filings-announcements</x:v>
      </x:c>
      <x:c r="H7" s="117" t="str">
        <x:v>Exchange-filed results and announcements</x:v>
      </x:c>
      <x:c r="I7" s="117" t="str">
        <x:v>Use if official page link rendering is inconvenient.</x:v>
      </x:c>
    </x:row>
    <x:row r="8">
      <x:c r="A8" s="124" t="str">
        <x:v>S5</x:v>
      </x:c>
      <x:c r="B8" s="125" t="str">
        <x:v>BSE company filings</x:v>
      </x:c>
      <x:c r="C8" s="125" t="str">
        <x:v>Current</x:v>
      </x:c>
      <x:c r="D8" s="125"/>
      <x:c r="E8" s="125"/>
      <x:c r="F8" s="125" t="str">
        <x:v>BSE filings</x:v>
      </x:c>
      <x:c r="G8" s="116" t="str">
        <x:v>https://www.bseindia.com/corporates/ann.html</x:v>
      </x:c>
      <x:c r="H8" s="117" t="str">
        <x:v>Exchange-filed results and announcements</x:v>
      </x:c>
      <x:c r="I8" s="117" t="str">
        <x:v>Cross-check source documents.</x:v>
      </x:c>
    </x:row>
    <x:row r="9">
      <x:c r="A9" s="124" t="str">
        <x:v>S6</x:v>
      </x:c>
      <x:c r="B9" s="125" t="str">
        <x:v>Risk-free rate</x:v>
      </x:c>
      <x:c r="C9" s="125" t="str">
        <x:v>Valuation date</x:v>
      </x:c>
      <x:c r="D9" s="125"/>
      <x:c r="E9" s="125" t="str">
        <x:v>%</x:v>
      </x:c>
      <x:c r="F9" s="125" t="str">
        <x:v>Government bond yield source</x:v>
      </x:c>
      <x:c r="G9" s="116" t="str">
        <x:v>https://www.rbi.org.in/</x:v>
      </x:c>
      <x:c r="H9" s="117" t="str">
        <x:v>CAPM / WACC</x:v>
      </x:c>
      <x:c r="I9" s="117" t="str">
        <x:v>Enter current 10-year India G-sec yield.</x:v>
      </x:c>
    </x:row>
    <x:row r="10">
      <x:c r="A10" s="124" t="str">
        <x:v>S7</x:v>
      </x:c>
      <x:c r="B10" s="125" t="str">
        <x:v>Equity risk premium</x:v>
      </x:c>
      <x:c r="C10" s="125" t="str">
        <x:v>Valuation date</x:v>
      </x:c>
      <x:c r="D10" s="125"/>
      <x:c r="E10" s="125" t="str">
        <x:v>%</x:v>
      </x:c>
      <x:c r="F10" s="125" t="str">
        <x:v>Damodaran ERP data</x:v>
      </x:c>
      <x:c r="G10" s="116" t="str">
        <x:v>https://pages.stern.nyu.edu/~adamodar/</x:v>
      </x:c>
      <x:c r="H10" s="117" t="str">
        <x:v>CAPM / WACC</x:v>
      </x:c>
      <x:c r="I10" s="117" t="str">
        <x:v>Use India mature/emerging ERP assumption and cite exact table.</x:v>
      </x:c>
    </x:row>
    <x:row r="11">
      <x:c r="A11" s="124" t="str">
        <x:v>S8</x:v>
      </x:c>
      <x:c r="B11" s="125" t="str">
        <x:v>Beta</x:v>
      </x:c>
      <x:c r="C11" s="125" t="str">
        <x:v>Valuation date</x:v>
      </x:c>
      <x:c r="D11" s="125"/>
      <x:c r="E11" s="125" t="str">
        <x:v>x</x:v>
      </x:c>
      <x:c r="F11" s="125" t="str">
        <x:v>Market data provider</x:v>
      </x:c>
      <x:c r="G11" s="116" t="str">
        <x:v>https://finance.yahoo.com/quote/ETERNAL.NS</x:v>
      </x:c>
      <x:c r="H11" s="117" t="str">
        <x:v>CAPM / WACC</x:v>
      </x:c>
      <x:c r="I11" s="117" t="str">
        <x:v>Record raw beta and whether levered/unlevered.</x:v>
      </x:c>
    </x:row>
    <x:row r="12">
      <x:c r="A12" s="124" t="str">
        <x:v>S9</x:v>
      </x:c>
      <x:c r="B12" s="125" t="str">
        <x:v>Share count / market price</x:v>
      </x:c>
      <x:c r="C12" s="125" t="str">
        <x:v>Valuation date</x:v>
      </x:c>
      <x:c r="D12" s="125"/>
      <x:c r="E12" s="125" t="str">
        <x:v>shares / INR</x:v>
      </x:c>
      <x:c r="F12" s="125" t="str">
        <x:v>Exchange or market data provider</x:v>
      </x:c>
      <x:c r="G12" s="116" t="str">
        <x:v>https://www.nseindia.com/get-quotes/equity?symbol=ETERNAL</x:v>
      </x:c>
      <x:c r="H12" s="117" t="str">
        <x:v>Equity value bridge and target price</x:v>
      </x:c>
      <x:c r="I12" s="117" t="str">
        <x:v>Lock as-of date.</x:v>
      </x:c>
    </x:row>
    <x:row r="13">
      <x:c r="A13" s="124" t="str">
        <x:v>S10</x:v>
      </x:c>
      <x:c r="B13" s="125" t="str">
        <x:v>Peer multiples</x:v>
      </x:c>
      <x:c r="C13" s="125" t="str">
        <x:v>Latest trading</x:v>
      </x:c>
      <x:c r="D13" s="125"/>
      <x:c r="E13" s="125" t="str">
        <x:v>x</x:v>
      </x:c>
      <x:c r="F13" s="125" t="str">
        <x:v>Company filings / market data</x:v>
      </x:c>
      <x:c r="G13" s="116" t="str">
        <x:v>Multiple source URLs</x:v>
      </x:c>
      <x:c r="H13" s="117" t="str">
        <x:v>Trading comps</x:v>
      </x:c>
      <x:c r="I13" s="117" t="str">
        <x:v>Prefer primary filings plus consistent market-data date.</x:v>
      </x:c>
    </x:row>
    <x:row r="14">
      <x:c r="A14" s="124" t="str">
        <x:v>S11</x:v>
      </x:c>
      <x:c r="B14" s="125" t="str">
        <x:v>Transaction multiples</x:v>
      </x:c>
      <x:c r="C14" s="125" t="str">
        <x:v>Deal announcement date</x:v>
      </x:c>
      <x:c r="D14" s="125"/>
      <x:c r="E14" s="125" t="str">
        <x:v>x</x:v>
      </x:c>
      <x:c r="F14" s="125" t="str">
        <x:v>Deal press releases / filings</x:v>
      </x:c>
      <x:c r="G14" s="116" t="str">
        <x:v>Multiple source URLs</x:v>
      </x:c>
      <x:c r="H14" s="117" t="str">
        <x:v>Precedents</x:v>
      </x:c>
      <x:c r="I14" s="117" t="str">
        <x:v>Use only if deal values and EBITDA/revenue are auditable.</x:v>
      </x:c>
    </x:row>
    <x:row r="15">
      <x:c r="A15" s="124" t="str">
        <x:v>S12</x:v>
      </x:c>
      <x:c r="B15" s="125" t="str">
        <x:v>Rename / company identity</x:v>
      </x:c>
      <x:c r="C15" s="125" t="str">
        <x:v>2025 onward</x:v>
      </x:c>
      <x:c r="D15" s="125"/>
      <x:c r="E15" s="125"/>
      <x:c r="F15" s="125" t="str">
        <x:v>Company announcement</x:v>
      </x:c>
      <x:c r="G15" s="116" t="str">
        <x:v>https://www.eternal.com/</x:v>
      </x:c>
      <x:c r="H15" s="117" t="str">
        <x:v>Naming and overview</x:v>
      </x:c>
      <x:c r="I15" s="117" t="str">
        <x:v>Use Eternal legal name; note former Zomato brand.</x:v>
      </x:c>
    </x:row>
    <x:row r="16">
      <x:c r="A16" s="127" t="str">
        <x:v>S13</x:v>
      </x:c>
      <x:c r="B16" s="128" t="str">
        <x:v>Business segments</x:v>
      </x:c>
      <x:c r="C16" s="128" t="str">
        <x:v>Latest annual / quarterly</x:v>
      </x:c>
      <x:c r="D16" s="128"/>
      <x:c r="E16" s="128"/>
      <x:c r="F16" s="128" t="str">
        <x:v>Eternal filings</x:v>
      </x:c>
      <x:c r="G16" s="120" t="str">
        <x:v>https://www.eternal.com/investor-relations/results/</x:v>
      </x:c>
      <x:c r="H16" s="121" t="str">
        <x:v>Food delivery, quick commerce, Hyperpure, going-out segment drivers</x:v>
      </x:c>
      <x:c r="I16" s="121" t="str">
        <x:v>Use segment disclosures where available.</x:v>
      </x:c>
    </x:row>
  </x:sheetData>
  <x:mergeCells>
    <x:mergeCell ref="A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4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46" hidden="0" customWidth="1"/>
  </x:cols>
  <x:sheetData>
    <x:row r="1">
      <x:c r="A1" s="102" t="str">
        <x:v>Assumptions</x:v>
      </x:c>
      <x:c r="B1" s="102" t="str">
        <x:v>Assumptions</x:v>
      </x:c>
      <x:c r="C1" s="102" t="str">
        <x:v>Assumptions</x:v>
      </x:c>
      <x:c r="D1" s="102" t="str">
        <x:v>Assumptions</x:v>
      </x:c>
      <x:c r="E1" s="102" t="str">
        <x:v>Assumptions</x:v>
      </x:c>
      <x:c r="F1" s="102" t="str">
        <x:v>Assumptions</x:v>
      </x:c>
      <x:c r="G1" s="102" t="str">
        <x:v>Assumptions</x:v>
      </x:c>
      <x:c r="H1" s="102" t="str">
        <x:v>Assumptions</x:v>
      </x:c>
    </x:row>
    <x:row r="2">
      <x:c r="A2" s="103"/>
      <x:c r="B2" s="103"/>
      <x:c r="C2" s="103"/>
      <x:c r="D2" s="103"/>
      <x:c r="E2" s="103"/>
      <x:c r="F2" s="103"/>
      <x:c r="G2" s="103"/>
      <x:c r="H2" s="103"/>
    </x:row>
    <x:row r="3">
      <x:c r="A3" s="105" t="str">
        <x:v>Operating Forecast Drivers</x:v>
      </x:c>
      <x:c r="B3" s="105" t="str">
        <x:v>Operating Forecast Drivers</x:v>
      </x:c>
      <x:c r="C3" s="105" t="str">
        <x:v>Operating Forecast Drivers</x:v>
      </x:c>
      <x:c r="D3" s="105" t="str">
        <x:v>Operating Forecast Drivers</x:v>
      </x:c>
      <x:c r="E3" s="105" t="str">
        <x:v>Operating Forecast Drivers</x:v>
      </x:c>
      <x:c r="F3" s="105" t="str">
        <x:v>Operating Forecast Drivers</x:v>
      </x:c>
      <x:c r="G3" s="105" t="str">
        <x:v>Operating Forecast Drivers</x:v>
      </x:c>
      <x:c r="H3" s="105" t="str">
        <x:v>Operating Forecast Drivers</x:v>
      </x:c>
    </x:row>
    <x:row r="4">
      <x:c r="A4" s="106" t="str">
        <x:v>Driver</x:v>
      </x:c>
      <x:c r="B4" s="107" t="str">
        <x:v>FY27E</x:v>
      </x:c>
      <x:c r="C4" s="107" t="str">
        <x:v>FY28E</x:v>
      </x:c>
      <x:c r="D4" s="107" t="str">
        <x:v>FY29E</x:v>
      </x:c>
      <x:c r="E4" s="107" t="str">
        <x:v>FY30E</x:v>
      </x:c>
      <x:c r="F4" s="107" t="str">
        <x:v>FY31E</x:v>
      </x:c>
      <x:c r="G4" s="107" t="str">
        <x:v>Source / basis</x:v>
      </x:c>
      <x:c r="H4" s="108" t="str">
        <x:v>Notes</x:v>
      </x:c>
    </x:row>
    <x:row r="5">
      <x:c r="A5" s="103" t="str">
        <x:v>Revenue growth</x:v>
      </x:c>
      <x:c r="B5" s="138" t="n">
        <x:v>0.22</x:v>
      </x:c>
      <x:c r="C5" s="138" t="n">
        <x:v>0.2</x:v>
      </x:c>
      <x:c r="D5" s="138" t="n">
        <x:v>0.18</x:v>
      </x:c>
      <x:c r="E5" s="138" t="n">
        <x:v>0.16</x:v>
      </x:c>
      <x:c r="F5" s="138" t="n">
        <x:v>0.14</x:v>
      </x:c>
      <x:c r="G5" s="94" t="str">
        <x:v>User input</x:v>
      </x:c>
      <x:c r="H5" s="94" t="str">
        <x:v>Initial placeholder ramp; replace with segment build from food delivery + Blinkit + Hyperpure.</x:v>
      </x:c>
    </x:row>
    <x:row r="6">
      <x:c r="A6" s="103" t="str">
        <x:v>EBITDA margin</x:v>
      </x:c>
      <x:c r="B6" s="138" t="n">
        <x:v>0.04</x:v>
      </x:c>
      <x:c r="C6" s="138" t="n">
        <x:v>0.06</x:v>
      </x:c>
      <x:c r="D6" s="138" t="n">
        <x:v>0.08</x:v>
      </x:c>
      <x:c r="E6" s="138" t="n">
        <x:v>0.1</x:v>
      </x:c>
      <x:c r="F6" s="138" t="n">
        <x:v>0.12</x:v>
      </x:c>
      <x:c r="G6" s="94" t="str">
        <x:v>User input</x:v>
      </x:c>
      <x:c r="H6" s="94" t="str">
        <x:v>Margin expansion should be justified by contribution margin and scale economics.</x:v>
      </x:c>
    </x:row>
    <x:row r="7">
      <x:c r="A7" s="103" t="str">
        <x:v>D&amp;A / revenue</x:v>
      </x:c>
      <x:c r="B7" s="138" t="n">
        <x:v>0.025</x:v>
      </x:c>
      <x:c r="C7" s="138" t="n">
        <x:v>0.024</x:v>
      </x:c>
      <x:c r="D7" s="138" t="n">
        <x:v>0.023</x:v>
      </x:c>
      <x:c r="E7" s="138" t="n">
        <x:v>0.022</x:v>
      </x:c>
      <x:c r="F7" s="138" t="n">
        <x:v>0.021</x:v>
      </x:c>
      <x:c r="G7" s="94" t="str">
        <x:v>User input</x:v>
      </x:c>
      <x:c r="H7" s="94" t="str">
        <x:v>Tie to PPE/intangibles after full statement build.</x:v>
      </x:c>
    </x:row>
    <x:row r="8">
      <x:c r="A8" s="103" t="str">
        <x:v>Capex / revenue</x:v>
      </x:c>
      <x:c r="B8" s="138" t="n">
        <x:v>0.035</x:v>
      </x:c>
      <x:c r="C8" s="138" t="n">
        <x:v>0.034</x:v>
      </x:c>
      <x:c r="D8" s="138" t="n">
        <x:v>0.033</x:v>
      </x:c>
      <x:c r="E8" s="138" t="n">
        <x:v>0.032</x:v>
      </x:c>
      <x:c r="F8" s="138" t="n">
        <x:v>0.031</x:v>
      </x:c>
      <x:c r="G8" s="94" t="str">
        <x:v>User input</x:v>
      </x:c>
      <x:c r="H8" s="94" t="str">
        <x:v>Include technology, dark-store, and logistics infrastructure where reported.</x:v>
      </x:c>
    </x:row>
    <x:row r="9">
      <x:c r="A9" s="103" t="str">
        <x:v>NWC / revenue</x:v>
      </x:c>
      <x:c r="B9" s="138" t="n">
        <x:v>0.02</x:v>
      </x:c>
      <x:c r="C9" s="138" t="n">
        <x:v>0.02</x:v>
      </x:c>
      <x:c r="D9" s="138" t="n">
        <x:v>0.02</x:v>
      </x:c>
      <x:c r="E9" s="138" t="n">
        <x:v>0.02</x:v>
      </x:c>
      <x:c r="F9" s="138" t="n">
        <x:v>0.02</x:v>
      </x:c>
      <x:c r="G9" s="94" t="str">
        <x:v>User input</x:v>
      </x:c>
      <x:c r="H9" s="94" t="str">
        <x:v>Use a working capital schedule once historical actuals are entered.</x:v>
      </x:c>
    </x:row>
    <x:row r="10">
      <x:c r="A10" s="103" t="str">
        <x:v>Cash tax rate</x:v>
      </x:c>
      <x:c r="B10" s="138" t="n">
        <x:v>0.25</x:v>
      </x:c>
      <x:c r="C10" s="138" t="n">
        <x:v>0.25</x:v>
      </x:c>
      <x:c r="D10" s="138" t="n">
        <x:v>0.25</x:v>
      </x:c>
      <x:c r="E10" s="138" t="n">
        <x:v>0.25</x:v>
      </x:c>
      <x:c r="F10" s="138" t="n">
        <x:v>0.25</x:v>
      </x:c>
      <x:c r="G10" s="94" t="str">
        <x:v>User input</x:v>
      </x:c>
      <x:c r="H10" s="94" t="str">
        <x:v>Use normalized effective tax rate, not early-profitability noise.</x:v>
      </x:c>
    </x:row>
    <x:row r="11">
      <x:c r="A11" s="103" t="str">
        <x:v>Share count growth</x:v>
      </x:c>
      <x:c r="B11" s="138" t="n">
        <x:v>0.01</x:v>
      </x:c>
      <x:c r="C11" s="138" t="n">
        <x:v>0.01</x:v>
      </x:c>
      <x:c r="D11" s="138" t="n">
        <x:v>0.01</x:v>
      </x:c>
      <x:c r="E11" s="138" t="n">
        <x:v>0.01</x:v>
      </x:c>
      <x:c r="F11" s="138" t="n">
        <x:v>0.01</x:v>
      </x:c>
      <x:c r="G11" s="94" t="str">
        <x:v>User input</x:v>
      </x:c>
      <x:c r="H11" s="94" t="str">
        <x:v>Tie to diluted shares and ESOP dilution.</x:v>
      </x:c>
    </x:row>
    <x:row r="12">
      <x:c r="A12" s="103" t="str">
        <x:v>Revenue sanity low</x:v>
      </x:c>
      <x:c r="B12" s="138" t="n">
        <x:v>0.05</x:v>
      </x:c>
      <x:c r="C12" s="138" t="n">
        <x:v>0.05</x:v>
      </x:c>
      <x:c r="D12" s="138" t="n">
        <x:v>0.05</x:v>
      </x:c>
      <x:c r="E12" s="138" t="n">
        <x:v>0.05</x:v>
      </x:c>
      <x:c r="F12" s="138" t="n">
        <x:v>0.05</x:v>
      </x:c>
      <x:c r="G12" s="94" t="str">
        <x:v>Check threshold</x:v>
      </x:c>
      <x:c r="H12" s="94" t="str">
        <x:v>Growth below this warns but does not fail the model.</x:v>
      </x:c>
    </x:row>
    <x:row r="13">
      <x:c r="A13" s="103" t="str">
        <x:v>Revenue sanity high</x:v>
      </x:c>
      <x:c r="B13" s="138" t="n">
        <x:v>0.4</x:v>
      </x:c>
      <x:c r="C13" s="138" t="n">
        <x:v>0.4</x:v>
      </x:c>
      <x:c r="D13" s="138" t="n">
        <x:v>0.4</x:v>
      </x:c>
      <x:c r="E13" s="138" t="n">
        <x:v>0.4</x:v>
      </x:c>
      <x:c r="F13" s="138" t="n">
        <x:v>0.4</x:v>
      </x:c>
      <x:c r="G13" s="94" t="str">
        <x:v>Check threshold</x:v>
      </x:c>
      <x:c r="H13" s="94" t="str">
        <x:v>Growth above this requires explicit explanation.</x:v>
      </x:c>
    </x:row>
    <x:row r="14">
      <x:c r="A14" s="103" t="str">
        <x:v>Target recommendation</x:v>
      </x:c>
      <x:c r="B14" s="139" t="str">
        <x:v>Hold</x:v>
      </x:c>
      <x:c r="C14" s="139"/>
      <x:c r="D14" s="139"/>
      <x:c r="E14" s="139"/>
      <x:c r="F14" s="139"/>
      <x:c r="G14" s="94" t="str">
        <x:v>User input</x:v>
      </x:c>
      <x:c r="H14" s="94" t="str">
        <x:v>Buy / Hold / Sell after valuation is source-backed.</x:v>
      </x:c>
    </x:row>
    <x:row r="15">
      <x:c r="A15" s="103"/>
      <x:c r="B15" s="103"/>
      <x:c r="C15" s="103"/>
      <x:c r="D15" s="103"/>
      <x:c r="E15" s="103"/>
      <x:c r="F15" s="103"/>
      <x:c r="G15" s="103"/>
      <x:c r="H15" s="103"/>
    </x:row>
    <x:row r="16">
      <x:c r="A16" s="103"/>
      <x:c r="B16" s="103"/>
      <x:c r="C16" s="103"/>
      <x:c r="D16" s="103"/>
      <x:c r="E16" s="103"/>
      <x:c r="F16" s="103"/>
      <x:c r="G16" s="103"/>
      <x:c r="H16" s="103"/>
    </x:row>
    <x:row r="17">
      <x:c r="A17" s="103" t="str">
        <x:v>Valuation date</x:v>
      </x:c>
      <x:c r="B17" s="140" t="n">
        <x:v>46204</x:v>
      </x:c>
      <x:c r="C17" s="103"/>
      <x:c r="D17" s="103"/>
      <x:c r="E17" s="103"/>
      <x:c r="F17" s="103"/>
      <x:c r="G17" s="103"/>
      <x:c r="H17" s="103"/>
    </x:row>
    <x:row r="18">
      <x:c r="A18" s="103" t="str">
        <x:v>Mid-year convention</x:v>
      </x:c>
      <x:c r="B18" s="139" t="str">
        <x:v>Yes</x:v>
      </x:c>
      <x:c r="C18" s="103"/>
      <x:c r="D18" s="103"/>
      <x:c r="E18" s="103"/>
      <x:c r="F18" s="103"/>
      <x:c r="G18" s="103"/>
      <x:c r="H18" s="103"/>
    </x:row>
    <x:row r="19">
      <x:c r="A19" s="103"/>
      <x:c r="B19" s="103"/>
      <x:c r="C19" s="103"/>
      <x:c r="D19" s="103"/>
      <x:c r="E19" s="103"/>
      <x:c r="F19" s="103"/>
      <x:c r="G19" s="103"/>
      <x:c r="H19" s="103"/>
    </x:row>
    <x:row r="20">
      <x:c r="A20" s="105" t="str">
        <x:v>WACC / Terminal Value</x:v>
      </x:c>
      <x:c r="B20" s="105" t="str">
        <x:v>WACC / Terminal Value</x:v>
      </x:c>
      <x:c r="C20" s="105" t="str">
        <x:v>WACC / Terminal Value</x:v>
      </x:c>
      <x:c r="D20" s="105" t="str">
        <x:v>WACC / Terminal Value</x:v>
      </x:c>
      <x:c r="E20" s="103"/>
      <x:c r="F20" s="103"/>
      <x:c r="G20" s="103"/>
      <x:c r="H20" s="103"/>
    </x:row>
    <x:row r="21">
      <x:c r="A21" s="103" t="str">
        <x:v>Risk-free rate</x:v>
      </x:c>
      <x:c r="B21" s="138" t="n">
        <x:v>0.069</x:v>
      </x:c>
      <x:c r="C21" s="103"/>
      <x:c r="D21" s="106" t="str">
        <x:v>Sensitivity Inputs</x:v>
      </x:c>
      <x:c r="E21" s="107" t="str">
        <x:v>Low</x:v>
      </x:c>
      <x:c r="F21" s="107" t="str">
        <x:v>Mid</x:v>
      </x:c>
      <x:c r="G21" s="107" t="str">
        <x:v>High</x:v>
      </x:c>
      <x:c r="H21" s="108" t="str">
        <x:v>Notes</x:v>
      </x:c>
    </x:row>
    <x:row r="22">
      <x:c r="A22" s="103" t="str">
        <x:v>Levered beta</x:v>
      </x:c>
      <x:c r="B22" s="138" t="n">
        <x:v>1.2</x:v>
      </x:c>
      <x:c r="C22" s="103"/>
      <x:c r="D22" s="103" t="str">
        <x:v>WACC range</x:v>
      </x:c>
      <x:c r="E22" s="138" t="n">
        <x:v>0.1</x:v>
      </x:c>
      <x:c r="F22" s="138" t="n">
        <x:v>0.12</x:v>
      </x:c>
      <x:c r="G22" s="138" t="n">
        <x:v>0.14</x:v>
      </x:c>
      <x:c r="H22" s="103" t="str">
        <x:v>Used in DCF sensitivity table</x:v>
      </x:c>
    </x:row>
    <x:row r="23">
      <x:c r="A23" s="103" t="str">
        <x:v>Equity risk premium</x:v>
      </x:c>
      <x:c r="B23" s="138" t="n">
        <x:v>0.055</x:v>
      </x:c>
      <x:c r="C23" s="103"/>
      <x:c r="D23" s="103" t="str">
        <x:v>Terminal growth range</x:v>
      </x:c>
      <x:c r="E23" s="138" t="n">
        <x:v>0.03</x:v>
      </x:c>
      <x:c r="F23" s="138" t="n">
        <x:v>0.04</x:v>
      </x:c>
      <x:c r="G23" s="138" t="n">
        <x:v>0.05</x:v>
      </x:c>
      <x:c r="H23" s="103" t="str">
        <x:v>Must stay below WACC</x:v>
      </x:c>
    </x:row>
    <x:row r="24">
      <x:c r="A24" s="103" t="str">
        <x:v>Size / company-specific premium</x:v>
      </x:c>
      <x:c r="B24" s="138" t="n">
        <x:v>0</x:v>
      </x:c>
      <x:c r="C24" s="103"/>
      <x:c r="D24" s="103" t="str">
        <x:v>Exit multiple range</x:v>
      </x:c>
      <x:c r="E24" s="141" t="n">
        <x:v>20</x:v>
      </x:c>
      <x:c r="F24" s="141" t="n">
        <x:v>25</x:v>
      </x:c>
      <x:c r="G24" s="141" t="n">
        <x:v>30</x:v>
      </x:c>
      <x:c r="H24" s="103" t="str">
        <x:v>Cross-check against peers</x:v>
      </x:c>
    </x:row>
    <x:row r="25">
      <x:c r="A25" s="103" t="str">
        <x:v>Pre-tax cost of debt</x:v>
      </x:c>
      <x:c r="B25" s="138" t="n">
        <x:v>0.085</x:v>
      </x:c>
      <x:c r="C25" s="103"/>
      <x:c r="D25" s="103" t="str">
        <x:v>Comps low haircut</x:v>
      </x:c>
      <x:c r="E25" s="138" t="n">
        <x:v>0.15</x:v>
      </x:c>
      <x:c r="F25" s="103"/>
      <x:c r="G25" s="103"/>
      <x:c r="H25" s="103" t="str">
        <x:v>Low case = median less haircut</x:v>
      </x:c>
    </x:row>
    <x:row r="26">
      <x:c r="A26" s="103" t="str">
        <x:v>Tax rate</x:v>
      </x:c>
      <x:c r="B26" s="138" t="n">
        <x:v>0.25</x:v>
      </x:c>
      <x:c r="C26" s="103"/>
      <x:c r="D26" s="103" t="str">
        <x:v>Comps high premium</x:v>
      </x:c>
      <x:c r="E26" s="138" t="n">
        <x:v>0.15</x:v>
      </x:c>
      <x:c r="F26" s="103"/>
      <x:c r="G26" s="103"/>
      <x:c r="H26" s="103" t="str">
        <x:v>High case = median plus premium</x:v>
      </x:c>
    </x:row>
    <x:row r="27">
      <x:c r="A27" s="103" t="str">
        <x:v>Debt / total capital</x:v>
      </x:c>
      <x:c r="B27" s="138" t="n">
        <x:v>0.05</x:v>
      </x:c>
      <x:c r="C27" s="103"/>
      <x:c r="D27" s="103" t="str">
        <x:v>Precedent premium</x:v>
      </x:c>
      <x:c r="E27" s="138" t="n">
        <x:v>0.2</x:v>
      </x:c>
      <x:c r="F27" s="103"/>
      <x:c r="G27" s="103"/>
      <x:c r="H27" s="103" t="str">
        <x:v>Typical control premium placeholder</x:v>
      </x:c>
    </x:row>
    <x:row r="28">
      <x:c r="A28" s="103" t="str">
        <x:v>Equity / total capital</x:v>
      </x:c>
      <x:c r="B28" s="142" t="n">
        <x:f>1-B27</x:f>
        <x:v>0.95</x:v>
      </x:c>
      <x:c r="C28" s="103"/>
      <x:c r="D28" s="103"/>
      <x:c r="E28" s="103"/>
      <x:c r="F28" s="103"/>
      <x:c r="G28" s="103"/>
      <x:c r="H28" s="103"/>
    </x:row>
    <x:row r="29">
      <x:c r="A29" s="103" t="str">
        <x:v>Cost of equity</x:v>
      </x:c>
      <x:c r="B29" s="142" t="n">
        <x:f>B21+B22*B23+B24</x:f>
        <x:v>0.135</x:v>
      </x:c>
      <x:c r="C29" s="103"/>
      <x:c r="D29" s="103"/>
      <x:c r="E29" s="103"/>
      <x:c r="F29" s="103"/>
      <x:c r="G29" s="103"/>
      <x:c r="H29" s="103"/>
    </x:row>
    <x:row r="30">
      <x:c r="A30" s="103" t="str">
        <x:v>After-tax cost of debt</x:v>
      </x:c>
      <x:c r="B30" s="142" t="n">
        <x:f>B25*(1-B26)</x:f>
        <x:v>0.06375</x:v>
      </x:c>
      <x:c r="C30" s="103"/>
      <x:c r="D30" s="103"/>
      <x:c r="E30" s="103"/>
      <x:c r="F30" s="103"/>
      <x:c r="G30" s="103"/>
      <x:c r="H30" s="103"/>
    </x:row>
    <x:row r="31">
      <x:c r="A31" s="103" t="str">
        <x:v>WACC</x:v>
      </x:c>
      <x:c r="B31" s="142" t="n">
        <x:f>B29*B28+B30*B27</x:f>
        <x:v>0.1314375</x:v>
      </x:c>
      <x:c r="C31" s="103"/>
      <x:c r="D31" s="103"/>
      <x:c r="E31" s="103"/>
      <x:c r="F31" s="103"/>
      <x:c r="G31" s="103"/>
      <x:c r="H31" s="103"/>
    </x:row>
    <x:row r="32">
      <x:c r="A32" s="103" t="str">
        <x:v>Net debt / (cash)</x:v>
      </x:c>
      <x:c r="B32" s="143" t="n">
        <x:v>0</x:v>
      </x:c>
      <x:c r="C32" s="103"/>
      <x:c r="D32" s="103"/>
      <x:c r="E32" s="103"/>
      <x:c r="F32" s="103"/>
      <x:c r="G32" s="103"/>
      <x:c r="H32" s="103"/>
    </x:row>
    <x:row r="33">
      <x:c r="A33" s="103" t="str">
        <x:v>Diluted shares outstanding (mm)</x:v>
      </x:c>
      <x:c r="B33" s="144" t="n">
        <x:v>8900</x:v>
      </x:c>
      <x:c r="C33" s="103"/>
      <x:c r="D33" s="103"/>
      <x:c r="E33" s="103"/>
      <x:c r="F33" s="103"/>
      <x:c r="G33" s="103"/>
      <x:c r="H33" s="103"/>
    </x:row>
    <x:row r="34">
      <x:c r="A34" s="103" t="str">
        <x:v>Current share price</x:v>
      </x:c>
      <x:c r="B34" s="145" t="n">
        <x:v>0</x:v>
      </x:c>
      <x:c r="C34" s="103"/>
      <x:c r="D34" s="103"/>
      <x:c r="E34" s="103"/>
      <x:c r="F34" s="103"/>
      <x:c r="G34" s="103"/>
      <x:c r="H34" s="103"/>
    </x:row>
    <x:row r="35">
      <x:c r="A35" s="103" t="str">
        <x:v>Terminal growth</x:v>
      </x:c>
      <x:c r="B35" s="138" t="n">
        <x:v>0.04</x:v>
      </x:c>
      <x:c r="C35" s="103"/>
      <x:c r="D35" s="103"/>
      <x:c r="E35" s="103"/>
      <x:c r="F35" s="103"/>
      <x:c r="G35" s="103"/>
      <x:c r="H35" s="103"/>
    </x:row>
    <x:row r="36">
      <x:c r="A36" s="103" t="str">
        <x:v>Exit EBITDA multiple</x:v>
      </x:c>
      <x:c r="B36" s="141" t="n">
        <x:v>25</x:v>
      </x:c>
      <x:c r="C36" s="103"/>
      <x:c r="D36" s="103"/>
      <x:c r="E36" s="103"/>
      <x:c r="F36" s="103"/>
      <x:c r="G36" s="103"/>
      <x:c r="H36" s="103"/>
    </x:row>
  </x:sheetData>
  <x:mergeCells>
    <x:mergeCell ref="A1:H1"/>
    <x:mergeCell ref="A3:H3"/>
    <x:mergeCell ref="A20:D20"/>
  </x:mergeCells>
  <x:pageMargins left="0.7" right="0.7" top="0.75" bottom="0.75" header="0.3" footer="0.3"/>
  <x:legacyDrawing xmlns:r="http://schemas.openxmlformats.org/officeDocument/2006/relationships" r:id="R5be19fa5f8f74f27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34" hidden="0" customWidth="1"/>
    <x:col min="8" max="8" width="12" hidden="0" customWidth="1"/>
  </x:cols>
  <x:sheetData>
    <x:row r="1">
      <x:c r="A1" s="102" t="str">
        <x:v>Historical Financial Statements Input</x:v>
      </x:c>
      <x:c r="B1" s="102" t="str">
        <x:v>Historical Financial Statements Input</x:v>
      </x:c>
      <x:c r="C1" s="102" t="str">
        <x:v>Historical Financial Statements Input</x:v>
      </x:c>
      <x:c r="D1" s="102" t="str">
        <x:v>Historical Financial Statements Input</x:v>
      </x:c>
      <x:c r="E1" s="102" t="str">
        <x:v>Historical Financial Statements Input</x:v>
      </x:c>
      <x:c r="F1" s="102" t="str">
        <x:v>Historical Financial Statements Input</x:v>
      </x:c>
      <x:c r="G1" s="102" t="str">
        <x:v>Historical Financial Statements Input</x:v>
      </x:c>
      <x:c r="H1" s="102" t="str">
        <x:v>Historical Financial Statements Input</x:v>
      </x:c>
    </x:row>
    <x:row r="2">
      <x:c r="A2" s="103"/>
      <x:c r="B2" s="103"/>
      <x:c r="C2" s="103"/>
      <x:c r="D2" s="103"/>
      <x:c r="E2" s="103"/>
      <x:c r="F2" s="103"/>
      <x:c r="G2" s="103"/>
      <x:c r="H2" s="103"/>
    </x:row>
    <x:row r="3">
      <x:c r="A3" s="106" t="str">
        <x:v>Line item</x:v>
      </x:c>
      <x:c r="B3" s="107" t="str">
        <x:v>FY22A</x:v>
      </x:c>
      <x:c r="C3" s="107" t="str">
        <x:v>FY23A</x:v>
      </x:c>
      <x:c r="D3" s="107" t="str">
        <x:v>FY24A</x:v>
      </x:c>
      <x:c r="E3" s="107" t="str">
        <x:v>FY25A</x:v>
      </x:c>
      <x:c r="F3" s="107" t="str">
        <x:v>FY26A</x:v>
      </x:c>
      <x:c r="G3" s="107" t="str">
        <x:v>Formula / check</x:v>
      </x:c>
      <x:c r="H3" s="108" t="str">
        <x:v>Source ID</x:v>
      </x:c>
    </x:row>
    <x:row r="4">
      <x:c r="A4" s="103" t="str">
        <x:v>Revenue</x:v>
      </x:c>
      <x:c r="B4" s="144"/>
      <x:c r="C4" s="144"/>
      <x:c r="D4" s="144"/>
      <x:c r="E4" s="144"/>
      <x:c r="F4" s="144"/>
      <x:c r="G4" s="103" t="str">
        <x:v>Input from annual report / results</x:v>
      </x:c>
      <x:c r="H4" s="154" t="str">
        <x:v>S2/S3</x:v>
      </x:c>
    </x:row>
    <x:row r="5">
      <x:c r="A5" s="103" t="str">
        <x:v>Revenue growth</x:v>
      </x:c>
      <x:c r="B5" s="155"/>
      <x:c r="C5" s="155" t="str">
        <x:f>IFERROR(C4/B4-1,"")</x:f>
      </x:c>
      <x:c r="D5" s="155" t="str">
        <x:f>IFERROR(D4/C4-1,"")</x:f>
      </x:c>
      <x:c r="E5" s="155" t="str">
        <x:f>IFERROR(E4/D4-1,"")</x:f>
      </x:c>
      <x:c r="F5" s="155" t="str">
        <x:f>IFERROR(F4/E4-1,"")</x:f>
      </x:c>
      <x:c r="G5" s="103" t="str">
        <x:v>=Revenue / prior year - 1</x:v>
      </x:c>
      <x:c r="H5" s="154"/>
    </x:row>
    <x:row r="6">
      <x:c r="A6" s="103" t="str">
        <x:v>COGS / operating costs</x:v>
      </x:c>
      <x:c r="B6" s="144"/>
      <x:c r="C6" s="144"/>
      <x:c r="D6" s="144"/>
      <x:c r="E6" s="144"/>
      <x:c r="F6" s="144"/>
      <x:c r="G6" s="103" t="str">
        <x:v>Input; expenses shown as positive values</x:v>
      </x:c>
      <x:c r="H6" s="154" t="str">
        <x:v>S2/S3</x:v>
      </x:c>
    </x:row>
    <x:row r="7">
      <x:c r="A7" s="156" t="str">
        <x:v>Gross profit</x:v>
      </x:c>
      <x:c r="B7" s="157" t="n">
        <x:f>IFERROR(B4-B6,"")</x:f>
        <x:v>0</x:v>
      </x:c>
      <x:c r="C7" s="157" t="n">
        <x:f>IFERROR(C4-C6,"")</x:f>
        <x:v>0</x:v>
      </x:c>
      <x:c r="D7" s="157" t="n">
        <x:f>IFERROR(D4-D6,"")</x:f>
        <x:v>0</x:v>
      </x:c>
      <x:c r="E7" s="157" t="n">
        <x:f>IFERROR(E4-E6,"")</x:f>
        <x:v>0</x:v>
      </x:c>
      <x:c r="F7" s="157" t="n">
        <x:f>IFERROR(F4-F6,"")</x:f>
        <x:v>0</x:v>
      </x:c>
      <x:c r="G7" s="103" t="str">
        <x:v>=Revenue - COGS</x:v>
      </x:c>
      <x:c r="H7" s="154"/>
    </x:row>
    <x:row r="8">
      <x:c r="A8" s="158" t="str">
        <x:v>Gross margin</x:v>
      </x:c>
      <x:c r="B8" s="159" t="str">
        <x:f>IFERROR(B7/B4,"")</x:f>
      </x:c>
      <x:c r="C8" s="159" t="str">
        <x:f>IFERROR(C7/C4,"")</x:f>
      </x:c>
      <x:c r="D8" s="159" t="str">
        <x:f>IFERROR(D7/D4,"")</x:f>
      </x:c>
      <x:c r="E8" s="159" t="str">
        <x:f>IFERROR(E7/E4,"")</x:f>
      </x:c>
      <x:c r="F8" s="159" t="str">
        <x:f>IFERROR(F7/F4,"")</x:f>
      </x:c>
      <x:c r="G8" s="103" t="str">
        <x:v>=Gross profit / Revenue</x:v>
      </x:c>
      <x:c r="H8" s="154"/>
    </x:row>
    <x:row r="9">
      <x:c r="A9" s="103" t="str">
        <x:v>SG&amp;A / other operating expenses</x:v>
      </x:c>
      <x:c r="B9" s="144"/>
      <x:c r="C9" s="144"/>
      <x:c r="D9" s="144"/>
      <x:c r="E9" s="144"/>
      <x:c r="F9" s="144"/>
      <x:c r="G9" s="103" t="str">
        <x:v>Input; expenses shown as positive values</x:v>
      </x:c>
      <x:c r="H9" s="154" t="str">
        <x:v>S2/S3</x:v>
      </x:c>
    </x:row>
    <x:row r="10">
      <x:c r="A10" s="103" t="str">
        <x:v>EBITDA</x:v>
      </x:c>
      <x:c r="B10" s="144"/>
      <x:c r="C10" s="144"/>
      <x:c r="D10" s="144"/>
      <x:c r="E10" s="144"/>
      <x:c r="F10" s="144"/>
      <x:c r="G10" s="103" t="str">
        <x:v>=Gross profit - SG&amp;A</x:v>
      </x:c>
      <x:c r="H10" s="154"/>
    </x:row>
    <x:row r="11">
      <x:c r="A11" s="156" t="str">
        <x:v>EBITDA margin</x:v>
      </x:c>
      <x:c r="B11" s="157" t="n">
        <x:f>IFERROR(B10-B12,"")</x:f>
        <x:v>0</x:v>
      </x:c>
      <x:c r="C11" s="157" t="n">
        <x:f>IFERROR(C10-C12,"")</x:f>
        <x:v>0</x:v>
      </x:c>
      <x:c r="D11" s="157" t="n">
        <x:f>IFERROR(D10-D12,"")</x:f>
        <x:v>0</x:v>
      </x:c>
      <x:c r="E11" s="157" t="n">
        <x:f>IFERROR(E10-E12,"")</x:f>
        <x:v>0</x:v>
      </x:c>
      <x:c r="F11" s="157" t="n">
        <x:f>IFERROR(F10-F12,"")</x:f>
        <x:v>0</x:v>
      </x:c>
      <x:c r="G11" s="103" t="str">
        <x:v>=EBITDA / Revenue</x:v>
      </x:c>
      <x:c r="H11" s="154"/>
    </x:row>
    <x:row r="12">
      <x:c r="A12" s="158" t="str">
        <x:v>D&amp;A</x:v>
      </x:c>
      <x:c r="B12" s="159">
        <x:f>IFERROR(B11/B4,"")</x:f>
      </x:c>
      <x:c r="C12" s="159">
        <x:f>IFERROR(C11/C4,"")</x:f>
      </x:c>
      <x:c r="D12" s="159">
        <x:f>IFERROR(D11/D4,"")</x:f>
      </x:c>
      <x:c r="E12" s="159">
        <x:f>IFERROR(E11/E4,"")</x:f>
      </x:c>
      <x:c r="F12" s="159" t="str">
        <x:f>IFERROR(F11/F4,"")</x:f>
      </x:c>
      <x:c r="G12" s="103" t="str">
        <x:v>Input; expense shown as positive value</x:v>
      </x:c>
      <x:c r="H12" s="154" t="str">
        <x:v>S2/S3</x:v>
      </x:c>
    </x:row>
    <x:row r="13">
      <x:c r="A13" s="103" t="str">
        <x:v>EBIT</x:v>
      </x:c>
      <x:c r="B13" s="144"/>
      <x:c r="C13" s="144"/>
      <x:c r="D13" s="144"/>
      <x:c r="E13" s="144"/>
      <x:c r="F13" s="144"/>
      <x:c r="G13" s="103" t="str">
        <x:v>=EBITDA - D&amp;A</x:v>
      </x:c>
      <x:c r="H13" s="154"/>
    </x:row>
    <x:row r="14">
      <x:c r="A14" s="103" t="str">
        <x:v>Cash taxes</x:v>
      </x:c>
      <x:c r="B14" s="144"/>
      <x:c r="C14" s="144"/>
      <x:c r="D14" s="144"/>
      <x:c r="E14" s="144"/>
      <x:c r="F14" s="144"/>
      <x:c r="G14" s="103" t="str">
        <x:v>Input or normalized tax estimate</x:v>
      </x:c>
      <x:c r="H14" s="154" t="str">
        <x:v>S2/S3</x:v>
      </x:c>
    </x:row>
    <x:row r="15">
      <x:c r="A15" s="103" t="str">
        <x:v>Net income</x:v>
      </x:c>
      <x:c r="B15" s="144"/>
      <x:c r="C15" s="144"/>
      <x:c r="D15" s="144"/>
      <x:c r="E15" s="144"/>
      <x:c r="F15" s="144"/>
      <x:c r="G15" s="103" t="str">
        <x:v>Input / tie to P&amp;L</x:v>
      </x:c>
      <x:c r="H15" s="154" t="str">
        <x:v>S2/S3</x:v>
      </x:c>
    </x:row>
    <x:row r="16">
      <x:c r="A16" s="103" t="str">
        <x:v>Cash and equivalents</x:v>
      </x:c>
      <x:c r="B16" s="144"/>
      <x:c r="C16" s="144"/>
      <x:c r="D16" s="144"/>
      <x:c r="E16" s="144"/>
      <x:c r="F16" s="144"/>
      <x:c r="G16" s="103" t="str">
        <x:v>Input from balance sheet</x:v>
      </x:c>
      <x:c r="H16" s="154" t="str">
        <x:v>S2/S3</x:v>
      </x:c>
    </x:row>
    <x:row r="17">
      <x:c r="A17" s="103" t="str">
        <x:v>Debt</x:v>
      </x:c>
      <x:c r="B17" s="144"/>
      <x:c r="C17" s="144"/>
      <x:c r="D17" s="144"/>
      <x:c r="E17" s="144"/>
      <x:c r="F17" s="144"/>
      <x:c r="G17" s="103" t="str">
        <x:v>Input from balance sheet</x:v>
      </x:c>
      <x:c r="H17" s="154" t="str">
        <x:v>S2/S3</x:v>
      </x:c>
    </x:row>
    <x:row r="18">
      <x:c r="A18" s="156" t="str">
        <x:v>Net debt / (cash)</x:v>
      </x:c>
      <x:c r="B18" s="157" t="n">
        <x:f>IFERROR(B17-B16,"")</x:f>
        <x:v>0</x:v>
      </x:c>
      <x:c r="C18" s="157" t="n">
        <x:f>IFERROR(C17-C16,"")</x:f>
        <x:v>0</x:v>
      </x:c>
      <x:c r="D18" s="157" t="n">
        <x:f>IFERROR(D17-D16,"")</x:f>
        <x:v>0</x:v>
      </x:c>
      <x:c r="E18" s="157" t="n">
        <x:f>IFERROR(E17-E16,"")</x:f>
        <x:v>0</x:v>
      </x:c>
      <x:c r="F18" s="157" t="n">
        <x:f>IFERROR(F17-F16,"")</x:f>
        <x:v>0</x:v>
      </x:c>
      <x:c r="G18" s="103" t="str">
        <x:v>=Debt - Cash</x:v>
      </x:c>
      <x:c r="H18" s="154"/>
    </x:row>
    <x:row r="19">
      <x:c r="A19" s="156" t="str">
        <x:v>Current assets ex-cash</x:v>
      </x:c>
      <x:c r="B19" s="160"/>
      <x:c r="C19" s="160"/>
      <x:c r="D19" s="160"/>
      <x:c r="E19" s="160"/>
      <x:c r="F19" s="160"/>
      <x:c r="G19" s="103" t="str">
        <x:v>Input for NWC</x:v>
      </x:c>
      <x:c r="H19" s="154" t="str">
        <x:v>S2/S3</x:v>
      </x:c>
    </x:row>
    <x:row r="20">
      <x:c r="A20" s="156" t="str">
        <x:v>Current liabilities ex-debt</x:v>
      </x:c>
      <x:c r="B20" s="160"/>
      <x:c r="C20" s="160"/>
      <x:c r="D20" s="160"/>
      <x:c r="E20" s="160"/>
      <x:c r="F20" s="160"/>
      <x:c r="G20" s="103" t="str">
        <x:v>Input for NWC</x:v>
      </x:c>
      <x:c r="H20" s="154" t="str">
        <x:v>S2/S3</x:v>
      </x:c>
    </x:row>
    <x:row r="21">
      <x:c r="A21" s="158" t="str">
        <x:v>Net working capital</x:v>
      </x:c>
      <x:c r="B21" s="161"/>
      <x:c r="C21" s="161" t="n">
        <x:f>IFERROR(C20-B20,"")</x:f>
        <x:v>0</x:v>
      </x:c>
      <x:c r="D21" s="161" t="n">
        <x:f>IFERROR(D20-C20,"")</x:f>
        <x:v>0</x:v>
      </x:c>
      <x:c r="E21" s="161" t="n">
        <x:f>IFERROR(E20-D20,"")</x:f>
        <x:v>0</x:v>
      </x:c>
      <x:c r="F21" s="161" t="n">
        <x:f>IFERROR(F20-E20,"")</x:f>
        <x:v>0</x:v>
      </x:c>
      <x:c r="G21" s="103" t="str">
        <x:v>=Current assets ex-cash - current liabilities ex-debt</x:v>
      </x:c>
      <x:c r="H21" s="154"/>
    </x:row>
    <x:row r="22">
      <x:c r="A22" s="103" t="str">
        <x:v>Change in NWC</x:v>
      </x:c>
      <x:c r="B22" s="144"/>
      <x:c r="C22" s="144"/>
      <x:c r="D22" s="144"/>
      <x:c r="E22" s="144"/>
      <x:c r="F22" s="144"/>
      <x:c r="G22" s="103" t="str">
        <x:v>=NWC - prior year NWC</x:v>
      </x:c>
      <x:c r="H22" s="154"/>
    </x:row>
    <x:row r="23">
      <x:c r="A23" s="103" t="str">
        <x:v>Capex</x:v>
      </x:c>
      <x:c r="B23" s="144"/>
      <x:c r="C23" s="144"/>
      <x:c r="D23" s="144"/>
      <x:c r="E23" s="144"/>
      <x:c r="F23" s="144"/>
      <x:c r="G23" s="103" t="str">
        <x:v>Input from cash flow statement; cash outflow as positive</x:v>
      </x:c>
      <x:c r="H23" s="154" t="str">
        <x:v>S2/S3</x:v>
      </x:c>
    </x:row>
    <x:row r="24">
      <x:c r="A24" s="103" t="str">
        <x:v>Diluted shares (mm)</x:v>
      </x:c>
      <x:c r="B24" s="144"/>
      <x:c r="C24" s="144"/>
      <x:c r="D24" s="144"/>
      <x:c r="E24" s="144"/>
      <x:c r="F24" s="144"/>
      <x:c r="G24" s="103" t="str">
        <x:v>Input from filings / exchange</x:v>
      </x:c>
      <x:c r="H24" s="154" t="str">
        <x:v>S9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102" t="str">
        <x:v>Operating Forecast Model</x:v>
      </x:c>
      <x:c r="B1" s="102" t="str">
        <x:v>Operating Forecast Model</x:v>
      </x:c>
      <x:c r="C1" s="102" t="str">
        <x:v>Operating Forecast Model</x:v>
      </x:c>
      <x:c r="D1" s="102" t="str">
        <x:v>Operating Forecast Model</x:v>
      </x:c>
      <x:c r="E1" s="102" t="str">
        <x:v>Operating Forecast Model</x:v>
      </x:c>
      <x:c r="F1" s="102" t="str">
        <x:v>Operating Forecast Model</x:v>
      </x:c>
      <x:c r="G1" s="102" t="str">
        <x:v>Operating Forecast Model</x:v>
      </x:c>
    </x:row>
    <x:row r="2">
      <x:c r="A2" s="103"/>
      <x:c r="B2" s="103"/>
      <x:c r="C2" s="103"/>
      <x:c r="D2" s="103"/>
      <x:c r="E2" s="103"/>
      <x:c r="F2" s="103"/>
      <x:c r="G2" s="103"/>
    </x:row>
    <x:row r="3">
      <x:c r="A3" s="106" t="str">
        <x:v>Line item</x:v>
      </x:c>
      <x:c r="B3" s="107" t="str">
        <x:v>FY26A</x:v>
      </x:c>
      <x:c r="C3" s="107" t="str">
        <x:v>FY27E</x:v>
      </x:c>
      <x:c r="D3" s="107" t="str">
        <x:v>FY28E</x:v>
      </x:c>
      <x:c r="E3" s="107" t="str">
        <x:v>FY29E</x:v>
      </x:c>
      <x:c r="F3" s="107" t="str">
        <x:v>FY30E</x:v>
      </x:c>
      <x:c r="G3" s="108" t="str">
        <x:v>FY31E</x:v>
      </x:c>
    </x:row>
    <x:row r="4">
      <x:c r="A4" s="103" t="str">
        <x:v>Revenue</x:v>
      </x:c>
      <x:c r="B4" s="166" t="n">
        <x:f>'Historical FS'!F4</x:f>
        <x:v>0</x:v>
      </x:c>
      <x:c r="C4" s="167" t="n">
        <x:f>B4*(1+'Assumptions'!B5)</x:f>
        <x:v>0</x:v>
      </x:c>
      <x:c r="D4" s="167" t="n">
        <x:f>C4*(1+'Assumptions'!C5)</x:f>
        <x:v>0</x:v>
      </x:c>
      <x:c r="E4" s="167" t="n">
        <x:f>D4*(1+'Assumptions'!D5)</x:f>
        <x:v>0</x:v>
      </x:c>
      <x:c r="F4" s="167" t="n">
        <x:f>E4*(1+'Assumptions'!E5)</x:f>
        <x:v>0</x:v>
      </x:c>
      <x:c r="G4" s="167" t="n">
        <x:f>F4*(1+'Assumptions'!F5)</x:f>
        <x:v>0</x:v>
      </x:c>
    </x:row>
    <x:row r="5">
      <x:c r="A5" s="103" t="str">
        <x:v>Revenue growth</x:v>
      </x:c>
      <x:c r="B5" s="168" t="str">
        <x:f>'Historical FS'!F5</x:f>
      </x:c>
      <x:c r="C5" s="142" t="str">
        <x:f>IFERROR(C4/B4-1,"")</x:f>
      </x:c>
      <x:c r="D5" s="142" t="str">
        <x:f>IFERROR(D4/C4-1,"")</x:f>
      </x:c>
      <x:c r="E5" s="142" t="str">
        <x:f>IFERROR(E4/D4-1,"")</x:f>
      </x:c>
      <x:c r="F5" s="142" t="str">
        <x:f>IFERROR(F4/E4-1,"")</x:f>
      </x:c>
      <x:c r="G5" s="142" t="str">
        <x:f>IFERROR(G4/F4-1,"")</x:f>
      </x:c>
    </x:row>
    <x:row r="6">
      <x:c r="A6" s="103" t="str">
        <x:v>EBITDA margin</x:v>
      </x:c>
      <x:c r="B6" s="168" t="str">
        <x:f>'Historical FS'!F12</x:f>
      </x:c>
      <x:c r="C6" s="142" t="n">
        <x:f>'Assumptions'!B6</x:f>
        <x:v>0.04</x:v>
      </x:c>
      <x:c r="D6" s="142" t="n">
        <x:f>'Assumptions'!C6</x:f>
        <x:v>0.06</x:v>
      </x:c>
      <x:c r="E6" s="142" t="n">
        <x:f>'Assumptions'!D6</x:f>
        <x:v>0.08</x:v>
      </x:c>
      <x:c r="F6" s="142" t="n">
        <x:f>'Assumptions'!E6</x:f>
        <x:v>0.1</x:v>
      </x:c>
      <x:c r="G6" s="142" t="n">
        <x:f>'Assumptions'!F6</x:f>
        <x:v>0.12</x:v>
      </x:c>
    </x:row>
    <x:row r="7">
      <x:c r="A7" s="158" t="str">
        <x:v>EBITDA</x:v>
      </x:c>
      <x:c r="B7" s="169" t="n">
        <x:f>'Historical FS'!F11</x:f>
        <x:v>0</x:v>
      </x:c>
      <x:c r="C7" s="161" t="n">
        <x:f>C4*C6</x:f>
        <x:v>0</x:v>
      </x:c>
      <x:c r="D7" s="161" t="n">
        <x:f>D4*D6</x:f>
        <x:v>0</x:v>
      </x:c>
      <x:c r="E7" s="161" t="n">
        <x:f>E4*E6</x:f>
        <x:v>0</x:v>
      </x:c>
      <x:c r="F7" s="161" t="n">
        <x:f>F4*F6</x:f>
        <x:v>0</x:v>
      </x:c>
      <x:c r="G7" s="161" t="n">
        <x:f>G4*G6</x:f>
        <x:v>0</x:v>
      </x:c>
    </x:row>
    <x:row r="8">
      <x:c r="A8" s="103" t="str">
        <x:v>D&amp;A / revenue</x:v>
      </x:c>
      <x:c r="B8" s="168" t="str">
        <x:f>IFERROR('Historical FS'!F13/'Historical FS'!F4,"")</x:f>
      </x:c>
      <x:c r="C8" s="142" t="n">
        <x:f>'Assumptions'!B7</x:f>
        <x:v>0.025</x:v>
      </x:c>
      <x:c r="D8" s="142" t="n">
        <x:f>'Assumptions'!C7</x:f>
        <x:v>0.024</x:v>
      </x:c>
      <x:c r="E8" s="142" t="n">
        <x:f>'Assumptions'!D7</x:f>
        <x:v>0.023</x:v>
      </x:c>
      <x:c r="F8" s="142" t="n">
        <x:f>'Assumptions'!E7</x:f>
        <x:v>0.022</x:v>
      </x:c>
      <x:c r="G8" s="142" t="n">
        <x:f>'Assumptions'!F7</x:f>
        <x:v>0.021</x:v>
      </x:c>
    </x:row>
    <x:row r="9">
      <x:c r="A9" s="103" t="str">
        <x:v>D&amp;A</x:v>
      </x:c>
      <x:c r="B9" s="166" t="n">
        <x:f>'Historical FS'!F13</x:f>
        <x:v>0</x:v>
      </x:c>
      <x:c r="C9" s="167" t="n">
        <x:f>C4*C8</x:f>
        <x:v>0</x:v>
      </x:c>
      <x:c r="D9" s="167" t="n">
        <x:f>D4*D8</x:f>
        <x:v>0</x:v>
      </x:c>
      <x:c r="E9" s="167" t="n">
        <x:f>E4*E8</x:f>
        <x:v>0</x:v>
      </x:c>
      <x:c r="F9" s="167" t="n">
        <x:f>F4*F8</x:f>
        <x:v>0</x:v>
      </x:c>
      <x:c r="G9" s="167" t="n">
        <x:f>G4*G8</x:f>
        <x:v>0</x:v>
      </x:c>
    </x:row>
    <x:row r="10">
      <x:c r="A10" s="158" t="str">
        <x:v>EBIT</x:v>
      </x:c>
      <x:c r="B10" s="169" t="n">
        <x:f>'Historical FS'!F14</x:f>
        <x:v>0</x:v>
      </x:c>
      <x:c r="C10" s="161" t="n">
        <x:f>C7-C9</x:f>
        <x:v>0</x:v>
      </x:c>
      <x:c r="D10" s="161" t="n">
        <x:f>D7-D9</x:f>
        <x:v>0</x:v>
      </x:c>
      <x:c r="E10" s="161" t="n">
        <x:f>E7-E9</x:f>
        <x:v>0</x:v>
      </x:c>
      <x:c r="F10" s="161" t="n">
        <x:f>F7-F9</x:f>
        <x:v>0</x:v>
      </x:c>
      <x:c r="G10" s="161" t="n">
        <x:f>G7-G9</x:f>
        <x:v>0</x:v>
      </x:c>
    </x:row>
    <x:row r="11">
      <x:c r="A11" s="103" t="str">
        <x:v>Cash tax rate</x:v>
      </x:c>
      <x:c r="B11" s="168" t="str">
        <x:f>IFERROR('Historical FS'!F15/'Historical FS'!F14,"")</x:f>
      </x:c>
      <x:c r="C11" s="142" t="n">
        <x:f>'Assumptions'!B10</x:f>
        <x:v>0.25</x:v>
      </x:c>
      <x:c r="D11" s="142" t="n">
        <x:f>'Assumptions'!C10</x:f>
        <x:v>0.25</x:v>
      </x:c>
      <x:c r="E11" s="142" t="n">
        <x:f>'Assumptions'!D10</x:f>
        <x:v>0.25</x:v>
      </x:c>
      <x:c r="F11" s="142" t="n">
        <x:f>'Assumptions'!E10</x:f>
        <x:v>0.25</x:v>
      </x:c>
      <x:c r="G11" s="142" t="n">
        <x:f>'Assumptions'!F10</x:f>
        <x:v>0.25</x:v>
      </x:c>
    </x:row>
    <x:row r="12">
      <x:c r="A12" s="103" t="str">
        <x:v>Cash taxes</x:v>
      </x:c>
      <x:c r="B12" s="166" t="n">
        <x:f>'Historical FS'!F15</x:f>
        <x:v>0</x:v>
      </x:c>
      <x:c r="C12" s="167" t="n">
        <x:f>MAX(0,C10*C11)</x:f>
        <x:v>0</x:v>
      </x:c>
      <x:c r="D12" s="167" t="n">
        <x:f>MAX(0,D10*D11)</x:f>
        <x:v>0</x:v>
      </x:c>
      <x:c r="E12" s="167" t="n">
        <x:f>MAX(0,E10*E11)</x:f>
        <x:v>0</x:v>
      </x:c>
      <x:c r="F12" s="167" t="n">
        <x:f>MAX(0,F10*F11)</x:f>
        <x:v>0</x:v>
      </x:c>
      <x:c r="G12" s="167" t="n">
        <x:f>MAX(0,G10*G11)</x:f>
        <x:v>0</x:v>
      </x:c>
    </x:row>
    <x:row r="13">
      <x:c r="A13" s="158" t="str">
        <x:v>NOPAT</x:v>
      </x:c>
      <x:c r="B13" s="169" t="n">
        <x:f>IFERROR(B10-B12,"")</x:f>
        <x:v>0</x:v>
      </x:c>
      <x:c r="C13" s="161" t="n">
        <x:f>C10-C12</x:f>
        <x:v>0</x:v>
      </x:c>
      <x:c r="D13" s="161" t="n">
        <x:f>D10-D12</x:f>
        <x:v>0</x:v>
      </x:c>
      <x:c r="E13" s="161" t="n">
        <x:f>E10-E12</x:f>
        <x:v>0</x:v>
      </x:c>
      <x:c r="F13" s="161" t="n">
        <x:f>F10-F12</x:f>
        <x:v>0</x:v>
      </x:c>
      <x:c r="G13" s="161" t="n">
        <x:f>G10-G12</x:f>
        <x:v>0</x:v>
      </x:c>
    </x:row>
    <x:row r="14">
      <x:c r="A14" s="103" t="str">
        <x:v>Capex / revenue</x:v>
      </x:c>
      <x:c r="B14" s="168" t="str">
        <x:f>IFERROR('Historical FS'!F23/'Historical FS'!F4,"")</x:f>
      </x:c>
      <x:c r="C14" s="142" t="n">
        <x:f>'Assumptions'!B8</x:f>
        <x:v>0.035</x:v>
      </x:c>
      <x:c r="D14" s="142" t="n">
        <x:f>'Assumptions'!C8</x:f>
        <x:v>0.034</x:v>
      </x:c>
      <x:c r="E14" s="142" t="n">
        <x:f>'Assumptions'!D8</x:f>
        <x:v>0.033</x:v>
      </x:c>
      <x:c r="F14" s="142" t="n">
        <x:f>'Assumptions'!E8</x:f>
        <x:v>0.032</x:v>
      </x:c>
      <x:c r="G14" s="142" t="n">
        <x:f>'Assumptions'!F8</x:f>
        <x:v>0.031</x:v>
      </x:c>
    </x:row>
    <x:row r="15">
      <x:c r="A15" s="158" t="str">
        <x:v>Capex</x:v>
      </x:c>
      <x:c r="B15" s="169" t="n">
        <x:f>'Historical FS'!F23</x:f>
        <x:v>0</x:v>
      </x:c>
      <x:c r="C15" s="161" t="n">
        <x:f>C4*C14</x:f>
        <x:v>0</x:v>
      </x:c>
      <x:c r="D15" s="161" t="n">
        <x:f>D4*D14</x:f>
        <x:v>0</x:v>
      </x:c>
      <x:c r="E15" s="161" t="n">
        <x:f>E4*E14</x:f>
        <x:v>0</x:v>
      </x:c>
      <x:c r="F15" s="161" t="n">
        <x:f>F4*F14</x:f>
        <x:v>0</x:v>
      </x:c>
      <x:c r="G15" s="161" t="n">
        <x:f>G4*G14</x:f>
        <x:v>0</x:v>
      </x:c>
    </x:row>
    <x:row r="16">
      <x:c r="A16" s="103" t="str">
        <x:v>NWC / revenue</x:v>
      </x:c>
      <x:c r="B16" s="168" t="str">
        <x:f>IFERROR('Historical FS'!F20/'Historical FS'!F4,"")</x:f>
      </x:c>
      <x:c r="C16" s="142" t="n">
        <x:f>'Assumptions'!B9</x:f>
        <x:v>0.02</x:v>
      </x:c>
      <x:c r="D16" s="142" t="n">
        <x:f>'Assumptions'!C9</x:f>
        <x:v>0.02</x:v>
      </x:c>
      <x:c r="E16" s="142" t="n">
        <x:f>'Assumptions'!D9</x:f>
        <x:v>0.02</x:v>
      </x:c>
      <x:c r="F16" s="142" t="n">
        <x:f>'Assumptions'!E9</x:f>
        <x:v>0.02</x:v>
      </x:c>
      <x:c r="G16" s="142" t="n">
        <x:f>'Assumptions'!F9</x:f>
        <x:v>0.02</x:v>
      </x:c>
    </x:row>
    <x:row r="17">
      <x:c r="A17" s="158" t="str">
        <x:v>NWC</x:v>
      </x:c>
      <x:c r="B17" s="169" t="n">
        <x:f>'Historical FS'!F20</x:f>
        <x:v>0</x:v>
      </x:c>
      <x:c r="C17" s="161" t="n">
        <x:f>C4*C16</x:f>
        <x:v>0</x:v>
      </x:c>
      <x:c r="D17" s="161" t="n">
        <x:f>D4*D16</x:f>
        <x:v>0</x:v>
      </x:c>
      <x:c r="E17" s="161" t="n">
        <x:f>E4*E16</x:f>
        <x:v>0</x:v>
      </x:c>
      <x:c r="F17" s="161" t="n">
        <x:f>F4*F16</x:f>
        <x:v>0</x:v>
      </x:c>
      <x:c r="G17" s="161" t="n">
        <x:f>G4*G16</x:f>
        <x:v>0</x:v>
      </x:c>
    </x:row>
    <x:row r="18">
      <x:c r="A18" s="103" t="str">
        <x:v>Change in NWC</x:v>
      </x:c>
      <x:c r="B18" s="166" t="n">
        <x:f>'Historical FS'!F21</x:f>
        <x:v>0</x:v>
      </x:c>
      <x:c r="C18" s="167" t="n">
        <x:f>C17-B17</x:f>
        <x:v>0</x:v>
      </x:c>
      <x:c r="D18" s="167" t="n">
        <x:f>D17-C17</x:f>
        <x:v>0</x:v>
      </x:c>
      <x:c r="E18" s="167" t="n">
        <x:f>E17-D17</x:f>
        <x:v>0</x:v>
      </x:c>
      <x:c r="F18" s="167" t="n">
        <x:f>F17-E17</x:f>
        <x:v>0</x:v>
      </x:c>
      <x:c r="G18" s="167" t="n">
        <x:f>G17-F17</x:f>
        <x:v>0</x:v>
      </x:c>
    </x:row>
    <x:row r="19">
      <x:c r="A19" s="158" t="str">
        <x:v>Unlevered FCF</x:v>
      </x:c>
      <x:c r="B19" s="169" t="n">
        <x:f>B13+B9-B15-B18</x:f>
        <x:v>0</x:v>
      </x:c>
      <x:c r="C19" s="161" t="n">
        <x:f>C13+C9-C15-C18</x:f>
        <x:v>0</x:v>
      </x:c>
      <x:c r="D19" s="161" t="n">
        <x:f>D13+D9-D15-D18</x:f>
        <x:v>0</x:v>
      </x:c>
      <x:c r="E19" s="161" t="n">
        <x:f>E13+E9-E15-E18</x:f>
        <x:v>0</x:v>
      </x:c>
      <x:c r="F19" s="161" t="n">
        <x:f>F13+F9-F15-F18</x:f>
        <x:v>0</x:v>
      </x:c>
      <x:c r="G19" s="161" t="n">
        <x:f>G13+G9-G15-G18</x:f>
        <x:v>0</x:v>
      </x:c>
    </x:row>
    <x:row r="20">
      <x:c r="A20" s="103" t="str">
        <x:v>Diluted shares (mm)</x:v>
      </x:c>
      <x:c r="B20" s="166" t="n">
        <x:f>'Historical FS'!F24</x:f>
        <x:v>0</x:v>
      </x:c>
      <x:c r="C20" s="167" t="n">
        <x:f>IF(B20&gt;0,B20*(1+'Assumptions'!B11),'Assumptions'!B33)</x:f>
        <x:v>8900</x:v>
      </x:c>
      <x:c r="D20" s="167" t="n">
        <x:f>C20*(1+'Assumptions'!C11)</x:f>
        <x:v>8989</x:v>
      </x:c>
      <x:c r="E20" s="167" t="n">
        <x:f>D20*(1+'Assumptions'!D11)</x:f>
        <x:v>9078.89</x:v>
      </x:c>
      <x:c r="F20" s="167" t="n">
        <x:f>E20*(1+'Assumptions'!E11)</x:f>
        <x:v>9169.678899999999</x:v>
      </x:c>
      <x:c r="G20" s="167" t="n">
        <x:f>F20*(1+'Assumptions'!F11)</x:f>
        <x:v>9261.375688999999</x:v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102" t="str">
        <x:v>Simplified Linked Statements</x:v>
      </x:c>
      <x:c r="B1" s="102" t="str">
        <x:v>Simplified Linked Statements</x:v>
      </x:c>
      <x:c r="C1" s="102" t="str">
        <x:v>Simplified Linked Statements</x:v>
      </x:c>
      <x:c r="D1" s="102" t="str">
        <x:v>Simplified Linked Statements</x:v>
      </x:c>
      <x:c r="E1" s="102" t="str">
        <x:v>Simplified Linked Statements</x:v>
      </x:c>
      <x:c r="F1" s="102" t="str">
        <x:v>Simplified Linked Statements</x:v>
      </x:c>
      <x:c r="G1" s="102" t="str">
        <x:v>Simplified Linked Statements</x:v>
      </x:c>
    </x:row>
    <x:row r="2">
      <x:c r="A2" s="103"/>
      <x:c r="B2" s="103"/>
      <x:c r="C2" s="103"/>
      <x:c r="D2" s="103"/>
      <x:c r="E2" s="103"/>
      <x:c r="F2" s="103"/>
      <x:c r="G2" s="103"/>
    </x:row>
    <x:row r="3">
      <x:c r="A3" s="105" t="str">
        <x:v>Income Statement</x:v>
      </x:c>
      <x:c r="B3" s="105" t="str">
        <x:v>Income Statement</x:v>
      </x:c>
      <x:c r="C3" s="105" t="str">
        <x:v>Income Statement</x:v>
      </x:c>
      <x:c r="D3" s="105" t="str">
        <x:v>Income Statement</x:v>
      </x:c>
      <x:c r="E3" s="105" t="str">
        <x:v>Income Statement</x:v>
      </x:c>
      <x:c r="F3" s="105" t="str">
        <x:v>Income Statement</x:v>
      </x:c>
      <x:c r="G3" s="105" t="str">
        <x:v>Income Statement</x:v>
      </x:c>
    </x:row>
    <x:row r="4">
      <x:c r="A4" s="106" t="str">
        <x:v>Line item</x:v>
      </x:c>
      <x:c r="B4" s="107" t="str">
        <x:v>FY26A</x:v>
      </x:c>
      <x:c r="C4" s="107" t="str">
        <x:v>FY27E</x:v>
      </x:c>
      <x:c r="D4" s="107" t="str">
        <x:v>FY28E</x:v>
      </x:c>
      <x:c r="E4" s="107" t="str">
        <x:v>FY29E</x:v>
      </x:c>
      <x:c r="F4" s="107" t="str">
        <x:v>FY30E</x:v>
      </x:c>
      <x:c r="G4" s="108" t="str">
        <x:v>FY31E</x:v>
      </x:c>
    </x:row>
    <x:row r="5">
      <x:c r="A5" s="103" t="str">
        <x:v>Revenue</x:v>
      </x:c>
      <x:c r="B5" s="167" t="n">
        <x:f>'Operating Model'!B4</x:f>
        <x:v>0</x:v>
      </x:c>
      <x:c r="C5" s="167" t="n">
        <x:f>'Operating Model'!C4</x:f>
        <x:v>0</x:v>
      </x:c>
      <x:c r="D5" s="167" t="n">
        <x:f>'Operating Model'!D4</x:f>
        <x:v>0</x:v>
      </x:c>
      <x:c r="E5" s="167" t="n">
        <x:f>'Operating Model'!E4</x:f>
        <x:v>0</x:v>
      </x:c>
      <x:c r="F5" s="167" t="n">
        <x:f>'Operating Model'!F4</x:f>
        <x:v>0</x:v>
      </x:c>
      <x:c r="G5" s="167" t="n">
        <x:f>'Operating Model'!G4</x:f>
        <x:v>0</x:v>
      </x:c>
    </x:row>
    <x:row r="6">
      <x:c r="A6" s="103" t="str">
        <x:v>EBITDA</x:v>
      </x:c>
      <x:c r="B6" s="167" t="n">
        <x:f>'Operating Model'!B7</x:f>
        <x:v>0</x:v>
      </x:c>
      <x:c r="C6" s="167" t="n">
        <x:f>'Operating Model'!C7</x:f>
        <x:v>0</x:v>
      </x:c>
      <x:c r="D6" s="167" t="n">
        <x:f>'Operating Model'!D7</x:f>
        <x:v>0</x:v>
      </x:c>
      <x:c r="E6" s="167" t="n">
        <x:f>'Operating Model'!E7</x:f>
        <x:v>0</x:v>
      </x:c>
      <x:c r="F6" s="167" t="n">
        <x:f>'Operating Model'!F7</x:f>
        <x:v>0</x:v>
      </x:c>
      <x:c r="G6" s="167" t="n">
        <x:f>'Operating Model'!G7</x:f>
        <x:v>0</x:v>
      </x:c>
    </x:row>
    <x:row r="7">
      <x:c r="A7" s="103" t="str">
        <x:v>D&amp;A</x:v>
      </x:c>
      <x:c r="B7" s="167" t="n">
        <x:f>'Operating Model'!B9</x:f>
        <x:v>0</x:v>
      </x:c>
      <x:c r="C7" s="167" t="n">
        <x:f>'Operating Model'!C9</x:f>
        <x:v>0</x:v>
      </x:c>
      <x:c r="D7" s="167" t="n">
        <x:f>'Operating Model'!D9</x:f>
        <x:v>0</x:v>
      </x:c>
      <x:c r="E7" s="167" t="n">
        <x:f>'Operating Model'!E9</x:f>
        <x:v>0</x:v>
      </x:c>
      <x:c r="F7" s="167" t="n">
        <x:f>'Operating Model'!F9</x:f>
        <x:v>0</x:v>
      </x:c>
      <x:c r="G7" s="167" t="n">
        <x:f>'Operating Model'!G9</x:f>
        <x:v>0</x:v>
      </x:c>
    </x:row>
    <x:row r="8">
      <x:c r="A8" s="103" t="str">
        <x:v>EBIT</x:v>
      </x:c>
      <x:c r="B8" s="167" t="n">
        <x:f>'Operating Model'!B10</x:f>
        <x:v>0</x:v>
      </x:c>
      <x:c r="C8" s="167" t="n">
        <x:f>'Operating Model'!C10</x:f>
        <x:v>0</x:v>
      </x:c>
      <x:c r="D8" s="167" t="n">
        <x:f>'Operating Model'!D10</x:f>
        <x:v>0</x:v>
      </x:c>
      <x:c r="E8" s="167" t="n">
        <x:f>'Operating Model'!E10</x:f>
        <x:v>0</x:v>
      </x:c>
      <x:c r="F8" s="167" t="n">
        <x:f>'Operating Model'!F10</x:f>
        <x:v>0</x:v>
      </x:c>
      <x:c r="G8" s="167" t="n">
        <x:f>'Operating Model'!G10</x:f>
        <x:v>0</x:v>
      </x:c>
    </x:row>
    <x:row r="9">
      <x:c r="A9" s="103" t="str">
        <x:v>Cash taxes</x:v>
      </x:c>
      <x:c r="B9" s="167" t="n">
        <x:f>'Operating Model'!B12</x:f>
        <x:v>0</x:v>
      </x:c>
      <x:c r="C9" s="167" t="n">
        <x:f>'Operating Model'!C12</x:f>
        <x:v>0</x:v>
      </x:c>
      <x:c r="D9" s="167" t="n">
        <x:f>'Operating Model'!D12</x:f>
        <x:v>0</x:v>
      </x:c>
      <x:c r="E9" s="167" t="n">
        <x:f>'Operating Model'!E12</x:f>
        <x:v>0</x:v>
      </x:c>
      <x:c r="F9" s="167" t="n">
        <x:f>'Operating Model'!F12</x:f>
        <x:v>0</x:v>
      </x:c>
      <x:c r="G9" s="167" t="n">
        <x:f>'Operating Model'!G12</x:f>
        <x:v>0</x:v>
      </x:c>
    </x:row>
    <x:row r="10">
      <x:c r="A10" s="158" t="str">
        <x:v>NOPAT</x:v>
      </x:c>
      <x:c r="B10" s="161" t="n">
        <x:f>'Operating Model'!B13</x:f>
        <x:v>0</x:v>
      </x:c>
      <x:c r="C10" s="161" t="n">
        <x:f>'Operating Model'!C13</x:f>
        <x:v>0</x:v>
      </x:c>
      <x:c r="D10" s="161" t="n">
        <x:f>'Operating Model'!D13</x:f>
        <x:v>0</x:v>
      </x:c>
      <x:c r="E10" s="161" t="n">
        <x:f>'Operating Model'!E13</x:f>
        <x:v>0</x:v>
      </x:c>
      <x:c r="F10" s="161" t="n">
        <x:f>'Operating Model'!F13</x:f>
        <x:v>0</x:v>
      </x:c>
      <x:c r="G10" s="161" t="n">
        <x:f>'Operating Model'!G13</x:f>
        <x:v>0</x:v>
      </x:c>
    </x:row>
    <x:row r="11">
      <x:c r="A11" s="158" t="str">
        <x:v>Net income proxy</x:v>
      </x:c>
      <x:c r="B11" s="161" t="n">
        <x:f>B10</x:f>
        <x:v>0</x:v>
      </x:c>
      <x:c r="C11" s="161" t="n">
        <x:f>C10</x:f>
        <x:v>0</x:v>
      </x:c>
      <x:c r="D11" s="161" t="n">
        <x:f>D10</x:f>
        <x:v>0</x:v>
      </x:c>
      <x:c r="E11" s="161" t="n">
        <x:f>E10</x:f>
        <x:v>0</x:v>
      </x:c>
      <x:c r="F11" s="161" t="n">
        <x:f>F10</x:f>
        <x:v>0</x:v>
      </x:c>
      <x:c r="G11" s="161" t="n">
        <x:f>G10</x:f>
        <x:v>0</x:v>
      </x:c>
    </x:row>
    <x:row r="12">
      <x:c r="A12" s="103"/>
      <x:c r="B12" s="167"/>
      <x:c r="C12" s="167"/>
      <x:c r="D12" s="167"/>
      <x:c r="E12" s="167"/>
      <x:c r="F12" s="167"/>
      <x:c r="G12" s="167"/>
    </x:row>
    <x:row r="13">
      <x:c r="A13" s="103"/>
      <x:c r="B13" s="167"/>
      <x:c r="C13" s="167"/>
      <x:c r="D13" s="167"/>
      <x:c r="E13" s="167"/>
      <x:c r="F13" s="167"/>
      <x:c r="G13" s="167"/>
    </x:row>
    <x:row r="14">
      <x:c r="A14" s="105" t="str">
        <x:v>Cash Flow</x:v>
      </x:c>
      <x:c r="B14" s="173" t="str">
        <x:v>Cash Flow</x:v>
      </x:c>
      <x:c r="C14" s="173" t="str">
        <x:v>Cash Flow</x:v>
      </x:c>
      <x:c r="D14" s="173" t="str">
        <x:v>Cash Flow</x:v>
      </x:c>
      <x:c r="E14" s="173" t="str">
        <x:v>Cash Flow</x:v>
      </x:c>
      <x:c r="F14" s="173" t="str">
        <x:v>Cash Flow</x:v>
      </x:c>
      <x:c r="G14" s="173" t="str">
        <x:v>Cash Flow</x:v>
      </x:c>
    </x:row>
    <x:row r="15">
      <x:c r="A15" s="106" t="str">
        <x:v>Line item</x:v>
      </x:c>
      <x:c r="B15" s="174" t="str">
        <x:v>FY26A</x:v>
      </x:c>
      <x:c r="C15" s="174" t="str">
        <x:v>FY27E</x:v>
      </x:c>
      <x:c r="D15" s="174" t="str">
        <x:v>FY28E</x:v>
      </x:c>
      <x:c r="E15" s="174" t="str">
        <x:v>FY29E</x:v>
      </x:c>
      <x:c r="F15" s="174" t="str">
        <x:v>FY30E</x:v>
      </x:c>
      <x:c r="G15" s="175" t="str">
        <x:v>FY31E</x:v>
      </x:c>
    </x:row>
    <x:row r="16">
      <x:c r="A16" s="103" t="str">
        <x:v>NOPAT</x:v>
      </x:c>
      <x:c r="B16" s="167" t="n">
        <x:f>'Operating Model'!B13</x:f>
        <x:v>0</x:v>
      </x:c>
      <x:c r="C16" s="167" t="n">
        <x:f>'Operating Model'!C13</x:f>
        <x:v>0</x:v>
      </x:c>
      <x:c r="D16" s="167" t="n">
        <x:f>'Operating Model'!D13</x:f>
        <x:v>0</x:v>
      </x:c>
      <x:c r="E16" s="167" t="n">
        <x:f>'Operating Model'!E13</x:f>
        <x:v>0</x:v>
      </x:c>
      <x:c r="F16" s="167" t="n">
        <x:f>'Operating Model'!F13</x:f>
        <x:v>0</x:v>
      </x:c>
      <x:c r="G16" s="167" t="n">
        <x:f>'Operating Model'!G13</x:f>
        <x:v>0</x:v>
      </x:c>
    </x:row>
    <x:row r="17">
      <x:c r="A17" s="103" t="str">
        <x:v>D&amp;A add-back</x:v>
      </x:c>
      <x:c r="B17" s="167" t="n">
        <x:f>'Operating Model'!B9</x:f>
        <x:v>0</x:v>
      </x:c>
      <x:c r="C17" s="167" t="n">
        <x:f>'Operating Model'!C9</x:f>
        <x:v>0</x:v>
      </x:c>
      <x:c r="D17" s="167" t="n">
        <x:f>'Operating Model'!D9</x:f>
        <x:v>0</x:v>
      </x:c>
      <x:c r="E17" s="167" t="n">
        <x:f>'Operating Model'!E9</x:f>
        <x:v>0</x:v>
      </x:c>
      <x:c r="F17" s="167" t="n">
        <x:f>'Operating Model'!F9</x:f>
        <x:v>0</x:v>
      </x:c>
      <x:c r="G17" s="167" t="n">
        <x:f>'Operating Model'!G9</x:f>
        <x:v>0</x:v>
      </x:c>
    </x:row>
    <x:row r="18">
      <x:c r="A18" s="103" t="str">
        <x:v>Capex</x:v>
      </x:c>
      <x:c r="B18" s="167" t="n">
        <x:f>'Operating Model'!B15</x:f>
        <x:v>0</x:v>
      </x:c>
      <x:c r="C18" s="167" t="n">
        <x:f>'Operating Model'!C15</x:f>
        <x:v>0</x:v>
      </x:c>
      <x:c r="D18" s="167" t="n">
        <x:f>'Operating Model'!D15</x:f>
        <x:v>0</x:v>
      </x:c>
      <x:c r="E18" s="167" t="n">
        <x:f>'Operating Model'!E15</x:f>
        <x:v>0</x:v>
      </x:c>
      <x:c r="F18" s="167" t="n">
        <x:f>'Operating Model'!F15</x:f>
        <x:v>0</x:v>
      </x:c>
      <x:c r="G18" s="167" t="n">
        <x:f>'Operating Model'!G15</x:f>
        <x:v>0</x:v>
      </x:c>
    </x:row>
    <x:row r="19">
      <x:c r="A19" s="103" t="str">
        <x:v>Change in NWC</x:v>
      </x:c>
      <x:c r="B19" s="167" t="n">
        <x:f>'Operating Model'!B18</x:f>
        <x:v>0</x:v>
      </x:c>
      <x:c r="C19" s="167" t="n">
        <x:f>'Operating Model'!C18</x:f>
        <x:v>0</x:v>
      </x:c>
      <x:c r="D19" s="167" t="n">
        <x:f>'Operating Model'!D18</x:f>
        <x:v>0</x:v>
      </x:c>
      <x:c r="E19" s="167" t="n">
        <x:f>'Operating Model'!E18</x:f>
        <x:v>0</x:v>
      </x:c>
      <x:c r="F19" s="167" t="n">
        <x:f>'Operating Model'!F18</x:f>
        <x:v>0</x:v>
      </x:c>
      <x:c r="G19" s="167" t="n">
        <x:f>'Operating Model'!G18</x:f>
        <x:v>0</x:v>
      </x:c>
    </x:row>
    <x:row r="20">
      <x:c r="A20" s="158" t="str">
        <x:v>Unlevered FCF</x:v>
      </x:c>
      <x:c r="B20" s="161" t="n">
        <x:f>'Operating Model'!B19</x:f>
        <x:v>0</x:v>
      </x:c>
      <x:c r="C20" s="161" t="n">
        <x:f>'Operating Model'!C19</x:f>
        <x:v>0</x:v>
      </x:c>
      <x:c r="D20" s="161" t="n">
        <x:f>'Operating Model'!D19</x:f>
        <x:v>0</x:v>
      </x:c>
      <x:c r="E20" s="161" t="n">
        <x:f>'Operating Model'!E19</x:f>
        <x:v>0</x:v>
      </x:c>
      <x:c r="F20" s="161" t="n">
        <x:f>'Operating Model'!F19</x:f>
        <x:v>0</x:v>
      </x:c>
      <x:c r="G20" s="161" t="n">
        <x:f>'Operating Model'!G19</x:f>
        <x:v>0</x:v>
      </x:c>
    </x:row>
    <x:row r="21">
      <x:c r="A21" s="158" t="str">
        <x:v>Ending cash proxy</x:v>
      </x:c>
      <x:c r="B21" s="161" t="n">
        <x:f>'Historical FS'!F16</x:f>
        <x:v>0</x:v>
      </x:c>
      <x:c r="C21" s="161" t="n">
        <x:f>B21+C20</x:f>
        <x:v>0</x:v>
      </x:c>
      <x:c r="D21" s="161" t="n">
        <x:f>C21+D20</x:f>
        <x:v>0</x:v>
      </x:c>
      <x:c r="E21" s="161" t="n">
        <x:f>D21+E20</x:f>
        <x:v>0</x:v>
      </x:c>
      <x:c r="F21" s="161" t="n">
        <x:f>E21+F20</x:f>
        <x:v>0</x:v>
      </x:c>
      <x:c r="G21" s="161" t="n">
        <x:f>F21+G20</x:f>
        <x:v>0</x:v>
      </x:c>
    </x:row>
    <x:row r="22">
      <x:c r="A22" s="103"/>
      <x:c r="B22" s="167"/>
      <x:c r="C22" s="167"/>
      <x:c r="D22" s="167"/>
      <x:c r="E22" s="167"/>
      <x:c r="F22" s="167"/>
      <x:c r="G22" s="167"/>
    </x:row>
    <x:row r="23">
      <x:c r="A23" s="103"/>
      <x:c r="B23" s="167"/>
      <x:c r="C23" s="167"/>
      <x:c r="D23" s="167"/>
      <x:c r="E23" s="167"/>
      <x:c r="F23" s="167"/>
      <x:c r="G23" s="167"/>
    </x:row>
    <x:row r="24">
      <x:c r="A24" s="105" t="str">
        <x:v>Balance Sheet Drivers</x:v>
      </x:c>
      <x:c r="B24" s="173" t="str">
        <x:v>Balance Sheet Drivers</x:v>
      </x:c>
      <x:c r="C24" s="173" t="str">
        <x:v>Balance Sheet Drivers</x:v>
      </x:c>
      <x:c r="D24" s="173" t="str">
        <x:v>Balance Sheet Drivers</x:v>
      </x:c>
      <x:c r="E24" s="173" t="str">
        <x:v>Balance Sheet Drivers</x:v>
      </x:c>
      <x:c r="F24" s="173" t="str">
        <x:v>Balance Sheet Drivers</x:v>
      </x:c>
      <x:c r="G24" s="173" t="str">
        <x:v>Balance Sheet Drivers</x:v>
      </x:c>
    </x:row>
    <x:row r="25">
      <x:c r="A25" s="106" t="str">
        <x:v>Line item</x:v>
      </x:c>
      <x:c r="B25" s="174" t="str">
        <x:v>FY26A</x:v>
      </x:c>
      <x:c r="C25" s="174" t="str">
        <x:v>FY27E</x:v>
      </x:c>
      <x:c r="D25" s="174" t="str">
        <x:v>FY28E</x:v>
      </x:c>
      <x:c r="E25" s="174" t="str">
        <x:v>FY29E</x:v>
      </x:c>
      <x:c r="F25" s="174" t="str">
        <x:v>FY30E</x:v>
      </x:c>
      <x:c r="G25" s="175" t="str">
        <x:v>FY31E</x:v>
      </x:c>
    </x:row>
    <x:row r="26">
      <x:c r="A26" s="103" t="str">
        <x:v>Cash</x:v>
      </x:c>
      <x:c r="B26" s="167" t="n">
        <x:f>'Historical FS'!F16</x:f>
        <x:v>0</x:v>
      </x:c>
      <x:c r="C26" s="167" t="n">
        <x:f>C21</x:f>
        <x:v>0</x:v>
      </x:c>
      <x:c r="D26" s="167" t="n">
        <x:f>D21</x:f>
        <x:v>0</x:v>
      </x:c>
      <x:c r="E26" s="167" t="n">
        <x:f>E21</x:f>
        <x:v>0</x:v>
      </x:c>
      <x:c r="F26" s="167" t="n">
        <x:f>F21</x:f>
        <x:v>0</x:v>
      </x:c>
      <x:c r="G26" s="167" t="n">
        <x:f>G21</x:f>
        <x:v>0</x:v>
      </x:c>
    </x:row>
    <x:row r="27">
      <x:c r="A27" s="103" t="str">
        <x:v>Debt</x:v>
      </x:c>
      <x:c r="B27" s="167" t="n">
        <x:f>'Historical FS'!F17</x:f>
        <x:v>0</x:v>
      </x:c>
      <x:c r="C27" s="167" t="n">
        <x:f>B27</x:f>
        <x:v>0</x:v>
      </x:c>
      <x:c r="D27" s="167" t="n">
        <x:f>C27</x:f>
        <x:v>0</x:v>
      </x:c>
      <x:c r="E27" s="167" t="n">
        <x:f>D27</x:f>
        <x:v>0</x:v>
      </x:c>
      <x:c r="F27" s="167" t="n">
        <x:f>E27</x:f>
        <x:v>0</x:v>
      </x:c>
      <x:c r="G27" s="167" t="n">
        <x:f>F27</x:f>
        <x:v>0</x:v>
      </x:c>
    </x:row>
    <x:row r="28">
      <x:c r="A28" s="158" t="str">
        <x:v>Net debt / (cash)</x:v>
      </x:c>
      <x:c r="B28" s="161" t="n">
        <x:f>B27-B26</x:f>
        <x:v>0</x:v>
      </x:c>
      <x:c r="C28" s="161" t="n">
        <x:f>C27-C26</x:f>
        <x:v>0</x:v>
      </x:c>
      <x:c r="D28" s="161" t="n">
        <x:f>D27-D26</x:f>
        <x:v>0</x:v>
      </x:c>
      <x:c r="E28" s="161" t="n">
        <x:f>E27-E26</x:f>
        <x:v>0</x:v>
      </x:c>
      <x:c r="F28" s="161" t="n">
        <x:f>F27-F26</x:f>
        <x:v>0</x:v>
      </x:c>
      <x:c r="G28" s="161" t="n">
        <x:f>G27-G26</x:f>
        <x:v>0</x:v>
      </x:c>
    </x:row>
    <x:row r="29">
      <x:c r="A29" s="103" t="str">
        <x:v>Net working capital</x:v>
      </x:c>
      <x:c r="B29" s="167" t="n">
        <x:f>'Operating Model'!B17</x:f>
        <x:v>0</x:v>
      </x:c>
      <x:c r="C29" s="167" t="n">
        <x:f>'Operating Model'!C17</x:f>
        <x:v>0</x:v>
      </x:c>
      <x:c r="D29" s="167" t="n">
        <x:f>'Operating Model'!D17</x:f>
        <x:v>0</x:v>
      </x:c>
      <x:c r="E29" s="167" t="n">
        <x:f>'Operating Model'!E17</x:f>
        <x:v>0</x:v>
      </x:c>
      <x:c r="F29" s="167" t="n">
        <x:f>'Operating Model'!F17</x:f>
        <x:v>0</x:v>
      </x:c>
      <x:c r="G29" s="167" t="n">
        <x:f>'Operating Model'!G17</x:f>
        <x:v>0</x:v>
      </x:c>
    </x:row>
    <x:row r="30">
      <x:c r="A30" s="158" t="str">
        <x:v>Equity proxy</x:v>
      </x:c>
      <x:c r="B30" s="161" t="n">
        <x:f>'Historical FS'!F19</x:f>
        <x:v>0</x:v>
      </x:c>
      <x:c r="C30" s="161" t="n">
        <x:f>B30+C11</x:f>
        <x:v>0</x:v>
      </x:c>
      <x:c r="D30" s="161" t="n">
        <x:f>C30+D11</x:f>
        <x:v>0</x:v>
      </x:c>
      <x:c r="E30" s="161" t="n">
        <x:f>D30+E11</x:f>
        <x:v>0</x:v>
      </x:c>
      <x:c r="F30" s="161" t="n">
        <x:f>E30+F11</x:f>
        <x:v>0</x:v>
      </x:c>
      <x:c r="G30" s="161" t="n">
        <x:f>F30+G11</x:f>
        <x:v>0</x:v>
      </x:c>
    </x:row>
    <x:row r="31">
      <x:c r="A31" s="158" t="str">
        <x:v>Check: cash roll-forward</x:v>
      </x:c>
      <x:c r="B31" s="161" t="n">
        <x:f>B26-'Historical FS'!F16</x:f>
        <x:v>0</x:v>
      </x:c>
      <x:c r="C31" s="161" t="n">
        <x:f>C26-C21</x:f>
        <x:v>0</x:v>
      </x:c>
      <x:c r="D31" s="161" t="n">
        <x:f>D26-D21</x:f>
        <x:v>0</x:v>
      </x:c>
      <x:c r="E31" s="161" t="n">
        <x:f>E26-E21</x:f>
        <x:v>0</x:v>
      </x:c>
      <x:c r="F31" s="161" t="n">
        <x:f>F26-F21</x:f>
        <x:v>0</x:v>
      </x:c>
      <x:c r="G31" s="161" t="n">
        <x:f>G26-G21</x:f>
        <x:v>0</x:v>
      </x:c>
    </x:row>
    <x:row r="32">
      <x:c r="A32" s="158" t="str">
        <x:v>Check: net debt bridge</x:v>
      </x:c>
      <x:c r="B32" s="161" t="n">
        <x:f>B28-('Historical FS'!F17-'Historical FS'!F16)</x:f>
        <x:v>0</x:v>
      </x:c>
      <x:c r="C32" s="161" t="n">
        <x:f>C28-(C27-C26)</x:f>
        <x:v>0</x:v>
      </x:c>
      <x:c r="D32" s="161" t="n">
        <x:f>D28-(D27-D26)</x:f>
        <x:v>0</x:v>
      </x:c>
      <x:c r="E32" s="161" t="n">
        <x:f>E28-(E27-E26)</x:f>
        <x:v>0</x:v>
      </x:c>
      <x:c r="F32" s="161" t="n">
        <x:f>F28-(F27-F26)</x:f>
        <x:v>0</x:v>
      </x:c>
      <x:c r="G32" s="161" t="n">
        <x:f>G28-(G27-G26)</x:f>
        <x:v>0</x:v>
      </x:c>
    </x:row>
  </x:sheetData>
  <x:mergeCells>
    <x:mergeCell ref="A1:G1"/>
    <x:mergeCell ref="A3:G3"/>
    <x:mergeCell ref="A14:G14"/>
    <x:mergeCell ref="A24:G2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4" hidden="0" customWidth="1"/>
    <x:col min="8" max="8" width="14" hidden="0" customWidth="1"/>
  </x:cols>
  <x:sheetData>
    <x:row r="1">
      <x:c r="A1" s="102" t="str">
        <x:v>Discounted Cash Flow Valuation</x:v>
      </x:c>
      <x:c r="B1" s="102" t="str">
        <x:v>Discounted Cash Flow Valuation</x:v>
      </x:c>
      <x:c r="C1" s="102" t="str">
        <x:v>Discounted Cash Flow Valuation</x:v>
      </x:c>
      <x:c r="D1" s="102" t="str">
        <x:v>Discounted Cash Flow Valuation</x:v>
      </x:c>
      <x:c r="E1" s="102" t="str">
        <x:v>Discounted Cash Flow Valuation</x:v>
      </x:c>
      <x:c r="F1" s="102" t="str">
        <x:v>Discounted Cash Flow Valuation</x:v>
      </x:c>
      <x:c r="G1" s="102" t="str">
        <x:v>Discounted Cash Flow Valuation</x:v>
      </x:c>
      <x:c r="H1" s="102" t="str">
        <x:v>Discounted Cash Flow Valuation</x:v>
      </x:c>
    </x:row>
    <x:row r="2">
      <x:c r="A2" s="103"/>
      <x:c r="B2" s="103"/>
      <x:c r="C2" s="103"/>
      <x:c r="D2" s="103"/>
      <x:c r="E2" s="103"/>
      <x:c r="F2" s="103"/>
      <x:c r="G2" s="103"/>
      <x:c r="H2" s="103"/>
    </x:row>
    <x:row r="3">
      <x:c r="A3" s="106" t="str">
        <x:v>Line item</x:v>
      </x:c>
      <x:c r="B3" s="107" t="str">
        <x:v>FY27E</x:v>
      </x:c>
      <x:c r="C3" s="107" t="str">
        <x:v>FY28E</x:v>
      </x:c>
      <x:c r="D3" s="107" t="str">
        <x:v>FY29E</x:v>
      </x:c>
      <x:c r="E3" s="107" t="str">
        <x:v>FY30E</x:v>
      </x:c>
      <x:c r="F3" s="107" t="str">
        <x:v>FY31E</x:v>
      </x:c>
      <x:c r="G3" s="108" t="str">
        <x:v>Notes</x:v>
      </x:c>
      <x:c r="H3" s="103"/>
    </x:row>
    <x:row r="4">
      <x:c r="A4" s="103" t="str">
        <x:v>Revenue</x:v>
      </x:c>
      <x:c r="B4" s="185" t="n">
        <x:f>'Operating Model'!C4</x:f>
        <x:v>0</x:v>
      </x:c>
      <x:c r="C4" s="185" t="n">
        <x:f>'Operating Model'!D4</x:f>
        <x:v>0</x:v>
      </x:c>
      <x:c r="D4" s="185" t="n">
        <x:f>'Operating Model'!E4</x:f>
        <x:v>0</x:v>
      </x:c>
      <x:c r="E4" s="185" t="n">
        <x:f>'Operating Model'!F4</x:f>
        <x:v>0</x:v>
      </x:c>
      <x:c r="F4" s="185" t="n">
        <x:f>'Operating Model'!G4</x:f>
        <x:v>0</x:v>
      </x:c>
      <x:c r="G4" s="103" t="str">
        <x:v>From operating model</x:v>
      </x:c>
      <x:c r="H4" s="103"/>
    </x:row>
    <x:row r="5">
      <x:c r="A5" s="103" t="str">
        <x:v>EBITDA</x:v>
      </x:c>
      <x:c r="B5" s="185" t="n">
        <x:f>'Operating Model'!C7</x:f>
        <x:v>0</x:v>
      </x:c>
      <x:c r="C5" s="185" t="n">
        <x:f>'Operating Model'!D7</x:f>
        <x:v>0</x:v>
      </x:c>
      <x:c r="D5" s="185" t="n">
        <x:f>'Operating Model'!E7</x:f>
        <x:v>0</x:v>
      </x:c>
      <x:c r="E5" s="185" t="n">
        <x:f>'Operating Model'!F7</x:f>
        <x:v>0</x:v>
      </x:c>
      <x:c r="F5" s="185" t="n">
        <x:f>'Operating Model'!G7</x:f>
        <x:v>0</x:v>
      </x:c>
      <x:c r="G5" s="103" t="str">
        <x:v>From operating model</x:v>
      </x:c>
      <x:c r="H5" s="103"/>
    </x:row>
    <x:row r="6">
      <x:c r="A6" s="103" t="str">
        <x:v>EBIT</x:v>
      </x:c>
      <x:c r="B6" s="185" t="n">
        <x:f>'Operating Model'!C10</x:f>
        <x:v>0</x:v>
      </x:c>
      <x:c r="C6" s="185" t="n">
        <x:f>'Operating Model'!D10</x:f>
        <x:v>0</x:v>
      </x:c>
      <x:c r="D6" s="185" t="n">
        <x:f>'Operating Model'!E10</x:f>
        <x:v>0</x:v>
      </x:c>
      <x:c r="E6" s="185" t="n">
        <x:f>'Operating Model'!F10</x:f>
        <x:v>0</x:v>
      </x:c>
      <x:c r="F6" s="185" t="n">
        <x:f>'Operating Model'!G10</x:f>
        <x:v>0</x:v>
      </x:c>
      <x:c r="G6" s="103" t="str">
        <x:v>From operating model</x:v>
      </x:c>
      <x:c r="H6" s="103"/>
    </x:row>
    <x:row r="7">
      <x:c r="A7" s="103" t="str">
        <x:v>Cash taxes</x:v>
      </x:c>
      <x:c r="B7" s="185" t="n">
        <x:f>'Operating Model'!C12</x:f>
        <x:v>0</x:v>
      </x:c>
      <x:c r="C7" s="185" t="n">
        <x:f>'Operating Model'!D12</x:f>
        <x:v>0</x:v>
      </x:c>
      <x:c r="D7" s="185" t="n">
        <x:f>'Operating Model'!E12</x:f>
        <x:v>0</x:v>
      </x:c>
      <x:c r="E7" s="185" t="n">
        <x:f>'Operating Model'!F12</x:f>
        <x:v>0</x:v>
      </x:c>
      <x:c r="F7" s="185" t="n">
        <x:f>'Operating Model'!G12</x:f>
        <x:v>0</x:v>
      </x:c>
      <x:c r="G7" s="103" t="str">
        <x:v>From operating model</x:v>
      </x:c>
      <x:c r="H7" s="103"/>
    </x:row>
    <x:row r="8">
      <x:c r="A8" s="103" t="str">
        <x:v>NOPAT</x:v>
      </x:c>
      <x:c r="B8" s="185" t="n">
        <x:f>'Operating Model'!C13</x:f>
        <x:v>0</x:v>
      </x:c>
      <x:c r="C8" s="185" t="n">
        <x:f>'Operating Model'!D13</x:f>
        <x:v>0</x:v>
      </x:c>
      <x:c r="D8" s="185" t="n">
        <x:f>'Operating Model'!E13</x:f>
        <x:v>0</x:v>
      </x:c>
      <x:c r="E8" s="185" t="n">
        <x:f>'Operating Model'!F13</x:f>
        <x:v>0</x:v>
      </x:c>
      <x:c r="F8" s="185" t="n">
        <x:f>'Operating Model'!G13</x:f>
        <x:v>0</x:v>
      </x:c>
      <x:c r="G8" s="103" t="str">
        <x:v>EBIT less taxes</x:v>
      </x:c>
      <x:c r="H8" s="103"/>
    </x:row>
    <x:row r="9">
      <x:c r="A9" s="103" t="str">
        <x:v>D&amp;A</x:v>
      </x:c>
      <x:c r="B9" s="185" t="n">
        <x:f>'Operating Model'!C9</x:f>
        <x:v>0</x:v>
      </x:c>
      <x:c r="C9" s="185" t="n">
        <x:f>'Operating Model'!D9</x:f>
        <x:v>0</x:v>
      </x:c>
      <x:c r="D9" s="185" t="n">
        <x:f>'Operating Model'!E9</x:f>
        <x:v>0</x:v>
      </x:c>
      <x:c r="E9" s="185" t="n">
        <x:f>'Operating Model'!F9</x:f>
        <x:v>0</x:v>
      </x:c>
      <x:c r="F9" s="185" t="n">
        <x:f>'Operating Model'!G9</x:f>
        <x:v>0</x:v>
      </x:c>
      <x:c r="G9" s="103" t="str">
        <x:v>Add-back</x:v>
      </x:c>
      <x:c r="H9" s="103"/>
    </x:row>
    <x:row r="10">
      <x:c r="A10" s="103" t="str">
        <x:v>Capex</x:v>
      </x:c>
      <x:c r="B10" s="185" t="n">
        <x:f>'Operating Model'!C15</x:f>
        <x:v>0</x:v>
      </x:c>
      <x:c r="C10" s="185" t="n">
        <x:f>'Operating Model'!D15</x:f>
        <x:v>0</x:v>
      </x:c>
      <x:c r="D10" s="185" t="n">
        <x:f>'Operating Model'!E15</x:f>
        <x:v>0</x:v>
      </x:c>
      <x:c r="E10" s="185" t="n">
        <x:f>'Operating Model'!F15</x:f>
        <x:v>0</x:v>
      </x:c>
      <x:c r="F10" s="185" t="n">
        <x:f>'Operating Model'!G15</x:f>
        <x:v>0</x:v>
      </x:c>
      <x:c r="G10" s="103" t="str">
        <x:v>Cash outflow as positive number</x:v>
      </x:c>
      <x:c r="H10" s="103"/>
    </x:row>
    <x:row r="11">
      <x:c r="A11" s="103" t="str">
        <x:v>Change in NWC</x:v>
      </x:c>
      <x:c r="B11" s="185" t="n">
        <x:f>'Operating Model'!C18</x:f>
        <x:v>0</x:v>
      </x:c>
      <x:c r="C11" s="185" t="n">
        <x:f>'Operating Model'!D18</x:f>
        <x:v>0</x:v>
      </x:c>
      <x:c r="D11" s="185" t="n">
        <x:f>'Operating Model'!E18</x:f>
        <x:v>0</x:v>
      </x:c>
      <x:c r="E11" s="185" t="n">
        <x:f>'Operating Model'!F18</x:f>
        <x:v>0</x:v>
      </x:c>
      <x:c r="F11" s="185" t="n">
        <x:f>'Operating Model'!G18</x:f>
        <x:v>0</x:v>
      </x:c>
      <x:c r="G11" s="103" t="str">
        <x:v>Cash outflow as positive number</x:v>
      </x:c>
      <x:c r="H11" s="103"/>
    </x:row>
    <x:row r="12">
      <x:c r="A12" s="158" t="str">
        <x:v>Unlevered FCF</x:v>
      </x:c>
      <x:c r="B12" s="186" t="n">
        <x:f>'Operating Model'!C19</x:f>
        <x:v>0</x:v>
      </x:c>
      <x:c r="C12" s="186" t="n">
        <x:f>'Operating Model'!D19</x:f>
        <x:v>0</x:v>
      </x:c>
      <x:c r="D12" s="186" t="n">
        <x:f>'Operating Model'!E19</x:f>
        <x:v>0</x:v>
      </x:c>
      <x:c r="E12" s="186" t="n">
        <x:f>'Operating Model'!F19</x:f>
        <x:v>0</x:v>
      </x:c>
      <x:c r="F12" s="186" t="n">
        <x:f>'Operating Model'!G19</x:f>
        <x:v>0</x:v>
      </x:c>
      <x:c r="G12" s="103" t="str">
        <x:v>NOPAT + D&amp;A - capex - change in NWC</x:v>
      </x:c>
      <x:c r="H12" s="103"/>
    </x:row>
    <x:row r="13">
      <x:c r="A13" s="103" t="str">
        <x:v>Discount period</x:v>
      </x:c>
      <x:c r="B13" s="187" t="n">
        <x:v>0.5</x:v>
      </x:c>
      <x:c r="C13" s="187" t="n">
        <x:v>1.5</x:v>
      </x:c>
      <x:c r="D13" s="187" t="n">
        <x:v>2.5</x:v>
      </x:c>
      <x:c r="E13" s="187" t="n">
        <x:v>3.5</x:v>
      </x:c>
      <x:c r="F13" s="187" t="n">
        <x:v>4.5</x:v>
      </x:c>
      <x:c r="G13" s="103" t="str">
        <x:v>Mid-year convention</x:v>
      </x:c>
      <x:c r="H13" s="103"/>
    </x:row>
    <x:row r="14">
      <x:c r="A14" s="103" t="str">
        <x:v>WACC</x:v>
      </x:c>
      <x:c r="B14" s="110" t="n">
        <x:f>'Assumptions'!B31</x:f>
        <x:v>0.1314375</x:v>
      </x:c>
      <x:c r="C14" s="110" t="n">
        <x:f>'Assumptions'!B31</x:f>
        <x:v>0.1314375</x:v>
      </x:c>
      <x:c r="D14" s="110" t="n">
        <x:f>'Assumptions'!B31</x:f>
        <x:v>0.1314375</x:v>
      </x:c>
      <x:c r="E14" s="110" t="n">
        <x:f>'Assumptions'!B31</x:f>
        <x:v>0.1314375</x:v>
      </x:c>
      <x:c r="F14" s="110" t="n">
        <x:f>'Assumptions'!B31</x:f>
        <x:v>0.1314375</x:v>
      </x:c>
      <x:c r="G14" s="103" t="str">
        <x:v>From assumptions</x:v>
      </x:c>
      <x:c r="H14" s="103"/>
    </x:row>
    <x:row r="15">
      <x:c r="A15" s="103" t="str">
        <x:v>Discount factor</x:v>
      </x:c>
      <x:c r="B15" s="187" t="n">
        <x:f>1/(1+B14)^B13</x:f>
        <x:v>0.9401230819199701</x:v>
      </x:c>
      <x:c r="C15" s="187" t="n">
        <x:f>1/(1+C14)^C13</x:f>
        <x:v>0.8309103082759498</x:v>
      </x:c>
      <x:c r="D15" s="187" t="n">
        <x:f>1/(1+D14)^D13</x:f>
        <x:v>0.734384628648025</x:v>
      </x:c>
      <x:c r="E15" s="187" t="n">
        <x:f>1/(1+E14)^E13</x:f>
        <x:v>0.6490722012024747</x:v>
      </x:c>
      <x:c r="F15" s="187" t="n">
        <x:f>1/(1+F14)^F13</x:f>
        <x:v>0.5736703982345244</x:v>
      </x:c>
      <x:c r="G15" s="103" t="str">
        <x:v>=1/(1+WACC)^period</x:v>
      </x:c>
      <x:c r="H15" s="103"/>
    </x:row>
    <x:row r="16">
      <x:c r="A16" s="103"/>
      <x:c r="B16" s="103"/>
      <x:c r="C16" s="103"/>
      <x:c r="D16" s="103"/>
      <x:c r="E16" s="103"/>
      <x:c r="F16" s="103"/>
      <x:c r="G16" s="103"/>
      <x:c r="H16" s="103"/>
    </x:row>
    <x:row r="17">
      <x:c r="A17" s="103"/>
      <x:c r="B17" s="103"/>
      <x:c r="C17" s="103"/>
      <x:c r="D17" s="103"/>
      <x:c r="E17" s="103"/>
      <x:c r="F17" s="103"/>
      <x:c r="G17" s="103"/>
      <x:c r="H17" s="103"/>
    </x:row>
    <x:row r="18">
      <x:c r="A18" s="105" t="str">
        <x:v>Valuation Bridge</x:v>
      </x:c>
      <x:c r="B18" s="105" t="str">
        <x:v>Valuation Bridge</x:v>
      </x:c>
      <x:c r="C18" s="105" t="str">
        <x:v>Valuation Bridge</x:v>
      </x:c>
      <x:c r="D18" s="105" t="str">
        <x:v>Valuation Bridge</x:v>
      </x:c>
      <x:c r="E18" s="105" t="str">
        <x:v>Valuation Bridge</x:v>
      </x:c>
      <x:c r="F18" s="103"/>
      <x:c r="G18" s="103"/>
      <x:c r="H18" s="103"/>
    </x:row>
    <x:row r="19">
      <x:c r="A19" s="103" t="str">
        <x:v>Metric</x:v>
      </x:c>
      <x:c r="B19" s="188" t="str">
        <x:v>Gordon Growth</x:v>
      </x:c>
      <x:c r="C19" s="188" t="str">
        <x:v>Exit Multiple</x:v>
      </x:c>
      <x:c r="D19" s="188" t="str">
        <x:v>Selected</x:v>
      </x:c>
      <x:c r="E19" s="103" t="str">
        <x:v>Notes</x:v>
      </x:c>
      <x:c r="F19" s="103"/>
      <x:c r="G19" s="103"/>
      <x:c r="H19" s="103"/>
    </x:row>
    <x:row r="20">
      <x:c r="A20" s="156" t="str">
        <x:v>PV of forecast FCF</x:v>
      </x:c>
      <x:c r="B20" s="189" t="n">
        <x:f>SUMPRODUCT(B12:F12,B15:F15)</x:f>
        <x:v>0</x:v>
      </x:c>
      <x:c r="C20" s="189" t="n">
        <x:f>B20</x:f>
        <x:v>0</x:v>
      </x:c>
      <x:c r="D20" s="189" t="n">
        <x:f>AVERAGE(B20:C20)</x:f>
        <x:v>0</x:v>
      </x:c>
      <x:c r="E20" s="103" t="str">
        <x:v>Sum of discounted FY27E-FY31E FCF</x:v>
      </x:c>
      <x:c r="F20" s="103"/>
      <x:c r="G20" s="103"/>
      <x:c r="H20" s="103"/>
    </x:row>
    <x:row r="21">
      <x:c r="A21" s="156" t="str">
        <x:v>Terminal value</x:v>
      </x:c>
      <x:c r="B21" s="189" t="n">
        <x:f>IF('Assumptions'!B31&gt;'Assumptions'!B35,F12*(1+'Assumptions'!B35)/('Assumptions'!B31-'Assumptions'!B35),0)</x:f>
        <x:v>0</x:v>
      </x:c>
      <x:c r="C21" s="189" t="n">
        <x:f>F5*'Assumptions'!B36</x:f>
        <x:v>0</x:v>
      </x:c>
      <x:c r="D21" s="189" t="n">
        <x:f>AVERAGE(B21:C21)</x:f>
        <x:v>0</x:v>
      </x:c>
      <x:c r="E21" s="103" t="str">
        <x:v>Gordon and exit multiple shown separately</x:v>
      </x:c>
      <x:c r="F21" s="103"/>
      <x:c r="G21" s="103"/>
      <x:c r="H21" s="103"/>
    </x:row>
    <x:row r="22">
      <x:c r="A22" s="156" t="str">
        <x:v>PV of terminal value</x:v>
      </x:c>
      <x:c r="B22" s="189" t="n">
        <x:f>B21*F15</x:f>
        <x:v>0</x:v>
      </x:c>
      <x:c r="C22" s="189" t="n">
        <x:f>C21*F15</x:f>
        <x:v>0</x:v>
      </x:c>
      <x:c r="D22" s="189" t="n">
        <x:f>AVERAGE(B22:C22)</x:f>
        <x:v>0</x:v>
      </x:c>
      <x:c r="E22" s="103" t="str">
        <x:v>Discounted using FY31E discount factor</x:v>
      </x:c>
      <x:c r="F22" s="103"/>
      <x:c r="G22" s="103"/>
      <x:c r="H22" s="103"/>
    </x:row>
    <x:row r="23">
      <x:c r="A23" s="156" t="str">
        <x:v>Enterprise value</x:v>
      </x:c>
      <x:c r="B23" s="189" t="n">
        <x:f>B20+B22</x:f>
        <x:v>0</x:v>
      </x:c>
      <x:c r="C23" s="189" t="n">
        <x:f>C20+C22</x:f>
        <x:v>0</x:v>
      </x:c>
      <x:c r="D23" s="189" t="n">
        <x:f>AVERAGE(B23:C23)</x:f>
        <x:v>0</x:v>
      </x:c>
      <x:c r="E23" s="103" t="str">
        <x:v>PV FCF + PV terminal value</x:v>
      </x:c>
      <x:c r="F23" s="103"/>
      <x:c r="G23" s="103"/>
      <x:c r="H23" s="103"/>
    </x:row>
    <x:row r="24">
      <x:c r="A24" s="156" t="str">
        <x:v>Net debt / (cash)</x:v>
      </x:c>
      <x:c r="B24" s="189" t="n">
        <x:f>'Assumptions'!B32</x:f>
        <x:v>0</x:v>
      </x:c>
      <x:c r="C24" s="189" t="n">
        <x:f>'Assumptions'!B32</x:f>
        <x:v>0</x:v>
      </x:c>
      <x:c r="D24" s="189" t="n">
        <x:f>'Assumptions'!B32</x:f>
        <x:v>0</x:v>
      </x:c>
      <x:c r="E24" s="103" t="str">
        <x:v>From assumptions until actual bridge is locked</x:v>
      </x:c>
      <x:c r="F24" s="103"/>
      <x:c r="G24" s="103"/>
      <x:c r="H24" s="103"/>
    </x:row>
    <x:row r="25">
      <x:c r="A25" s="156" t="str">
        <x:v>Equity value</x:v>
      </x:c>
      <x:c r="B25" s="189" t="n">
        <x:f>B23-B24</x:f>
        <x:v>0</x:v>
      </x:c>
      <x:c r="C25" s="189" t="n">
        <x:f>C23-C24</x:f>
        <x:v>0</x:v>
      </x:c>
      <x:c r="D25" s="189" t="n">
        <x:f>D23-D24</x:f>
        <x:v>0</x:v>
      </x:c>
      <x:c r="E25" s="103" t="str">
        <x:v>Enterprise value - net debt</x:v>
      </x:c>
      <x:c r="F25" s="103"/>
      <x:c r="G25" s="103"/>
      <x:c r="H25" s="103"/>
    </x:row>
    <x:row r="26">
      <x:c r="A26" s="156" t="str">
        <x:v>Diluted shares (mm)</x:v>
      </x:c>
      <x:c r="B26" s="189" t="n">
        <x:f>'Operating Model'!G20</x:f>
        <x:v>9261.375688999999</x:v>
      </x:c>
      <x:c r="C26" s="189" t="n">
        <x:f>'Operating Model'!G20</x:f>
        <x:v>9261.375688999999</x:v>
      </x:c>
      <x:c r="D26" s="189" t="n">
        <x:f>'Operating Model'!G20</x:f>
        <x:v>9261.375688999999</x:v>
      </x:c>
      <x:c r="E26" s="103" t="str">
        <x:v>From operating model / assumptions</x:v>
      </x:c>
      <x:c r="F26" s="103"/>
      <x:c r="G26" s="103"/>
      <x:c r="H26" s="103"/>
    </x:row>
    <x:row r="27">
      <x:c r="A27" s="156" t="str">
        <x:v>Implied value / share</x:v>
      </x:c>
      <x:c r="B27" s="190" t="n">
        <x:f>IFERROR(B25/B26,0)</x:f>
        <x:v>0</x:v>
      </x:c>
      <x:c r="C27" s="190" t="n">
        <x:f>IFERROR(C25/C26,0)</x:f>
        <x:v>0</x:v>
      </x:c>
      <x:c r="D27" s="190" t="n">
        <x:f>IFERROR(D25/D26,0)</x:f>
        <x:v>0</x:v>
      </x:c>
      <x:c r="E27" s="103" t="str">
        <x:v>Equity value / diluted shares</x:v>
      </x:c>
      <x:c r="F27" s="103"/>
      <x:c r="G27" s="103"/>
      <x:c r="H27" s="103"/>
    </x:row>
    <x:row r="28">
      <x:c r="A28" s="156" t="str">
        <x:v>Selected low</x:v>
      </x:c>
      <x:c r="B28" s="190" t="n">
        <x:f>MIN(B27,C27)</x:f>
        <x:v>0</x:v>
      </x:c>
      <x:c r="C28" s="190" t="n">
        <x:f>B28</x:f>
        <x:v>0</x:v>
      </x:c>
      <x:c r="D28" s="190" t="n">
        <x:f>MIN(B27,C27)</x:f>
        <x:v>0</x:v>
      </x:c>
      <x:c r="E28" s="103" t="str">
        <x:v>Lower of Gordon / exit method</x:v>
      </x:c>
      <x:c r="F28" s="103"/>
      <x:c r="G28" s="103"/>
      <x:c r="H28" s="103"/>
    </x:row>
    <x:row r="29">
      <x:c r="A29" s="156" t="str">
        <x:v>Selected mid</x:v>
      </x:c>
      <x:c r="B29" s="190" t="n">
        <x:f>AVERAGE(B27,C27)</x:f>
        <x:v>0</x:v>
      </x:c>
      <x:c r="C29" s="190" t="n">
        <x:f>B29</x:f>
        <x:v>0</x:v>
      </x:c>
      <x:c r="D29" s="190" t="n">
        <x:f>AVERAGE(B27,C27)</x:f>
        <x:v>0</x:v>
      </x:c>
      <x:c r="E29" s="103" t="str">
        <x:v>Average of Gordon / exit method</x:v>
      </x:c>
      <x:c r="F29" s="103"/>
      <x:c r="G29" s="103"/>
      <x:c r="H29" s="103"/>
    </x:row>
    <x:row r="30">
      <x:c r="A30" s="158" t="str">
        <x:v>Selected high</x:v>
      </x:c>
      <x:c r="B30" s="191" t="n">
        <x:f>MAX(B27,C27)</x:f>
        <x:v>0</x:v>
      </x:c>
      <x:c r="C30" s="191" t="n">
        <x:f>B30</x:f>
        <x:v>0</x:v>
      </x:c>
      <x:c r="D30" s="191" t="n">
        <x:f>MAX(B27,C27)</x:f>
        <x:v>0</x:v>
      </x:c>
      <x:c r="E30" s="103" t="str">
        <x:v>Higher of Gordon / exit method</x:v>
      </x:c>
      <x:c r="F30" s="103"/>
      <x:c r="G30" s="103"/>
      <x:c r="H30" s="103"/>
    </x:row>
    <x:row r="31">
      <x:c r="A31" s="103" t="str">
        <x:v>Terminal growth</x:v>
      </x:c>
      <x:c r="B31" s="110" t="n">
        <x:f>'Assumptions'!B35</x:f>
        <x:v>0.04</x:v>
      </x:c>
      <x:c r="C31" s="110" t="n">
        <x:f>'Assumptions'!B35</x:f>
        <x:v>0.04</x:v>
      </x:c>
      <x:c r="D31" s="110" t="n">
        <x:f>'Assumptions'!B35</x:f>
        <x:v>0.04</x:v>
      </x:c>
      <x:c r="E31" s="103" t="str">
        <x:v>From assumptions</x:v>
      </x:c>
      <x:c r="F31" s="103"/>
      <x:c r="G31" s="103"/>
      <x:c r="H31" s="103"/>
    </x:row>
    <x:row r="32">
      <x:c r="A32" s="103" t="str">
        <x:v>Exit EBITDA multiple</x:v>
      </x:c>
      <x:c r="B32" s="111" t="n">
        <x:f>'Assumptions'!B36</x:f>
        <x:v>25</x:v>
      </x:c>
      <x:c r="C32" s="111" t="n">
        <x:f>'Assumptions'!B36</x:f>
        <x:v>25</x:v>
      </x:c>
      <x:c r="D32" s="111" t="n">
        <x:f>'Assumptions'!B36</x:f>
        <x:v>25</x:v>
      </x:c>
      <x:c r="E32" s="103" t="str">
        <x:v>From assumptions</x:v>
      </x:c>
      <x:c r="F32" s="103"/>
      <x:c r="G32" s="103"/>
      <x:c r="H32" s="103"/>
    </x:row>
    <x:row r="33">
      <x:c r="A33" s="103"/>
      <x:c r="B33" s="103"/>
      <x:c r="C33" s="103"/>
      <x:c r="D33" s="103"/>
      <x:c r="E33" s="103"/>
      <x:c r="F33" s="103"/>
      <x:c r="G33" s="103"/>
      <x:c r="H33" s="103"/>
    </x:row>
    <x:row r="34">
      <x:c r="A34" s="103"/>
      <x:c r="B34" s="103"/>
      <x:c r="C34" s="103"/>
      <x:c r="D34" s="103"/>
      <x:c r="E34" s="103"/>
      <x:c r="F34" s="103"/>
      <x:c r="G34" s="103"/>
      <x:c r="H34" s="103"/>
    </x:row>
    <x:row r="35">
      <x:c r="A35" s="105" t="str">
        <x:v>Sensitivity: Implied Value / Share - Gordon Growth</x:v>
      </x:c>
      <x:c r="B35" s="105" t="str">
        <x:v>Sensitivity: Implied Value / Share - Gordon Growth</x:v>
      </x:c>
      <x:c r="C35" s="105" t="str">
        <x:v>Sensitivity: Implied Value / Share - Gordon Growth</x:v>
      </x:c>
      <x:c r="D35" s="105" t="str">
        <x:v>Sensitivity: Implied Value / Share - Gordon Growth</x:v>
      </x:c>
      <x:c r="E35" s="105" t="str">
        <x:v>Sensitivity: Implied Value / Share - Gordon Growth</x:v>
      </x:c>
      <x:c r="F35" s="105" t="str">
        <x:v>Sensitivity: Implied Value / Share - Gordon Growth</x:v>
      </x:c>
      <x:c r="G35" s="103"/>
      <x:c r="H35" s="103"/>
    </x:row>
    <x:row r="36">
      <x:c r="A36" s="106" t="str">
        <x:v>WACC \ TGR</x:v>
      </x:c>
      <x:c r="B36" s="192" t="n">
        <x:v>0.03</x:v>
      </x:c>
      <x:c r="C36" s="192" t="n">
        <x:v>0.035</x:v>
      </x:c>
      <x:c r="D36" s="192" t="n">
        <x:v>0.04</x:v>
      </x:c>
      <x:c r="E36" s="192" t="n">
        <x:v>0.045</x:v>
      </x:c>
      <x:c r="F36" s="193" t="n">
        <x:v>0.05</x:v>
      </x:c>
      <x:c r="G36" s="103"/>
      <x:c r="H36" s="103"/>
    </x:row>
    <x:row r="37">
      <x:c r="A37" s="138" t="n">
        <x:v>0.1</x:v>
      </x:c>
      <x:c r="B37" s="109" t="n">
        <x:f>IFERROR(((SUMPRODUCT($B$12:$F$12,1/(1+$A37)^$B$13:$F$13)+($F$12*(1+B$36)/($A37-B$36))*$F$15)-'Assumptions'!$B$32)/'Operating Model'!$G$20,0)</x:f>
        <x:v>0</x:v>
      </x:c>
      <x:c r="C37" s="109" t="n">
        <x:f>IFERROR(((SUMPRODUCT($B$12:$F$12,1/(1+$A37)^$B$13:$F$13)+($F$12*(1+C$36)/($A37-C$36))*$F$15)-'Assumptions'!$B$32)/'Operating Model'!$G$20,0)</x:f>
        <x:v>0</x:v>
      </x:c>
      <x:c r="D37" s="109" t="n">
        <x:f>IFERROR(((SUMPRODUCT($B$12:$F$12,1/(1+$A37)^$B$13:$F$13)+($F$12*(1+D$36)/($A37-D$36))*$F$15)-'Assumptions'!$B$32)/'Operating Model'!$G$20,0)</x:f>
        <x:v>0</x:v>
      </x:c>
      <x:c r="E37" s="109" t="n">
        <x:f>IFERROR(((SUMPRODUCT($B$12:$F$12,1/(1+$A37)^$B$13:$F$13)+($F$12*(1+E$36)/($A37-E$36))*$F$15)-'Assumptions'!$B$32)/'Operating Model'!$G$20,0)</x:f>
        <x:v>0</x:v>
      </x:c>
      <x:c r="F37" s="109" t="n">
        <x:f>IFERROR(((SUMPRODUCT($B$12:$F$12,1/(1+$A37)^$B$13:$F$13)+($F$12*(1+F$36)/($A37-F$36))*$F$15)-'Assumptions'!$B$32)/'Operating Model'!$G$20,0)</x:f>
        <x:v>0</x:v>
      </x:c>
      <x:c r="G37" s="103"/>
      <x:c r="H37" s="103"/>
    </x:row>
    <x:row r="38">
      <x:c r="A38" s="138" t="n">
        <x:v>0.11</x:v>
      </x:c>
      <x:c r="B38" s="109" t="n">
        <x:f>IFERROR(((SUMPRODUCT($B$12:$F$12,1/(1+$A38)^$B$13:$F$13)+($F$12*(1+B$36)/($A38-B$36))*$F$15)-'Assumptions'!$B$32)/'Operating Model'!$G$20,0)</x:f>
        <x:v>0</x:v>
      </x:c>
      <x:c r="C38" s="109" t="n">
        <x:f>IFERROR(((SUMPRODUCT($B$12:$F$12,1/(1+$A38)^$B$13:$F$13)+($F$12*(1+C$36)/($A38-C$36))*$F$15)-'Assumptions'!$B$32)/'Operating Model'!$G$20,0)</x:f>
        <x:v>0</x:v>
      </x:c>
      <x:c r="D38" s="109" t="n">
        <x:f>IFERROR(((SUMPRODUCT($B$12:$F$12,1/(1+$A38)^$B$13:$F$13)+($F$12*(1+D$36)/($A38-D$36))*$F$15)-'Assumptions'!$B$32)/'Operating Model'!$G$20,0)</x:f>
        <x:v>0</x:v>
      </x:c>
      <x:c r="E38" s="109" t="n">
        <x:f>IFERROR(((SUMPRODUCT($B$12:$F$12,1/(1+$A38)^$B$13:$F$13)+($F$12*(1+E$36)/($A38-E$36))*$F$15)-'Assumptions'!$B$32)/'Operating Model'!$G$20,0)</x:f>
        <x:v>0</x:v>
      </x:c>
      <x:c r="F38" s="109" t="n">
        <x:f>IFERROR(((SUMPRODUCT($B$12:$F$12,1/(1+$A38)^$B$13:$F$13)+($F$12*(1+F$36)/($A38-F$36))*$F$15)-'Assumptions'!$B$32)/'Operating Model'!$G$20,0)</x:f>
        <x:v>0</x:v>
      </x:c>
      <x:c r="G38" s="103"/>
      <x:c r="H38" s="103"/>
    </x:row>
    <x:row r="39">
      <x:c r="A39" s="138" t="n">
        <x:v>0.12</x:v>
      </x:c>
      <x:c r="B39" s="109" t="n">
        <x:f>IFERROR(((SUMPRODUCT($B$12:$F$12,1/(1+$A39)^$B$13:$F$13)+($F$12*(1+B$36)/($A39-B$36))*$F$15)-'Assumptions'!$B$32)/'Operating Model'!$G$20,0)</x:f>
        <x:v>0</x:v>
      </x:c>
      <x:c r="C39" s="109" t="n">
        <x:f>IFERROR(((SUMPRODUCT($B$12:$F$12,1/(1+$A39)^$B$13:$F$13)+($F$12*(1+C$36)/($A39-C$36))*$F$15)-'Assumptions'!$B$32)/'Operating Model'!$G$20,0)</x:f>
        <x:v>0</x:v>
      </x:c>
      <x:c r="D39" s="109" t="n">
        <x:f>IFERROR(((SUMPRODUCT($B$12:$F$12,1/(1+$A39)^$B$13:$F$13)+($F$12*(1+D$36)/($A39-D$36))*$F$15)-'Assumptions'!$B$32)/'Operating Model'!$G$20,0)</x:f>
        <x:v>0</x:v>
      </x:c>
      <x:c r="E39" s="109" t="n">
        <x:f>IFERROR(((SUMPRODUCT($B$12:$F$12,1/(1+$A39)^$B$13:$F$13)+($F$12*(1+E$36)/($A39-E$36))*$F$15)-'Assumptions'!$B$32)/'Operating Model'!$G$20,0)</x:f>
        <x:v>0</x:v>
      </x:c>
      <x:c r="F39" s="109" t="n">
        <x:f>IFERROR(((SUMPRODUCT($B$12:$F$12,1/(1+$A39)^$B$13:$F$13)+($F$12*(1+F$36)/($A39-F$36))*$F$15)-'Assumptions'!$B$32)/'Operating Model'!$G$20,0)</x:f>
        <x:v>0</x:v>
      </x:c>
      <x:c r="G39" s="103"/>
      <x:c r="H39" s="103"/>
    </x:row>
    <x:row r="40">
      <x:c r="A40" s="138" t="n">
        <x:v>0.13</x:v>
      </x:c>
      <x:c r="B40" s="109" t="n">
        <x:f>IFERROR(((SUMPRODUCT($B$12:$F$12,1/(1+$A40)^$B$13:$F$13)+($F$12*(1+B$36)/($A40-B$36))*$F$15)-'Assumptions'!$B$32)/'Operating Model'!$G$20,0)</x:f>
        <x:v>0</x:v>
      </x:c>
      <x:c r="C40" s="109" t="n">
        <x:f>IFERROR(((SUMPRODUCT($B$12:$F$12,1/(1+$A40)^$B$13:$F$13)+($F$12*(1+C$36)/($A40-C$36))*$F$15)-'Assumptions'!$B$32)/'Operating Model'!$G$20,0)</x:f>
        <x:v>0</x:v>
      </x:c>
      <x:c r="D40" s="109" t="n">
        <x:f>IFERROR(((SUMPRODUCT($B$12:$F$12,1/(1+$A40)^$B$13:$F$13)+($F$12*(1+D$36)/($A40-D$36))*$F$15)-'Assumptions'!$B$32)/'Operating Model'!$G$20,0)</x:f>
        <x:v>0</x:v>
      </x:c>
      <x:c r="E40" s="109" t="n">
        <x:f>IFERROR(((SUMPRODUCT($B$12:$F$12,1/(1+$A40)^$B$13:$F$13)+($F$12*(1+E$36)/($A40-E$36))*$F$15)-'Assumptions'!$B$32)/'Operating Model'!$G$20,0)</x:f>
        <x:v>0</x:v>
      </x:c>
      <x:c r="F40" s="109" t="n">
        <x:f>IFERROR(((SUMPRODUCT($B$12:$F$12,1/(1+$A40)^$B$13:$F$13)+($F$12*(1+F$36)/($A40-F$36))*$F$15)-'Assumptions'!$B$32)/'Operating Model'!$G$20,0)</x:f>
        <x:v>0</x:v>
      </x:c>
      <x:c r="G40" s="103"/>
      <x:c r="H40" s="103"/>
    </x:row>
    <x:row r="41">
      <x:c r="A41" s="138" t="n">
        <x:v>0.14</x:v>
      </x:c>
      <x:c r="B41" s="109" t="n">
        <x:f>IFERROR(((SUMPRODUCT($B$12:$F$12,1/(1+$A41)^$B$13:$F$13)+($F$12*(1+B$36)/($A41-B$36))*$F$15)-'Assumptions'!$B$32)/'Operating Model'!$G$20,0)</x:f>
        <x:v>0</x:v>
      </x:c>
      <x:c r="C41" s="109" t="n">
        <x:f>IFERROR(((SUMPRODUCT($B$12:$F$12,1/(1+$A41)^$B$13:$F$13)+($F$12*(1+C$36)/($A41-C$36))*$F$15)-'Assumptions'!$B$32)/'Operating Model'!$G$20,0)</x:f>
        <x:v>0</x:v>
      </x:c>
      <x:c r="D41" s="109" t="n">
        <x:f>IFERROR(((SUMPRODUCT($B$12:$F$12,1/(1+$A41)^$B$13:$F$13)+($F$12*(1+D$36)/($A41-D$36))*$F$15)-'Assumptions'!$B$32)/'Operating Model'!$G$20,0)</x:f>
        <x:v>0</x:v>
      </x:c>
      <x:c r="E41" s="109" t="n">
        <x:f>IFERROR(((SUMPRODUCT($B$12:$F$12,1/(1+$A41)^$B$13:$F$13)+($F$12*(1+E$36)/($A41-E$36))*$F$15)-'Assumptions'!$B$32)/'Operating Model'!$G$20,0)</x:f>
        <x:v>0</x:v>
      </x:c>
      <x:c r="F41" s="109" t="n">
        <x:f>IFERROR(((SUMPRODUCT($B$12:$F$12,1/(1+$A41)^$B$13:$F$13)+($F$12*(1+F$36)/($A41-F$36))*$F$15)-'Assumptions'!$B$32)/'Operating Model'!$G$20,0)</x:f>
        <x:v>0</x:v>
      </x:c>
      <x:c r="G41" s="103"/>
      <x:c r="H41" s="103"/>
    </x:row>
  </x:sheetData>
  <x:mergeCells>
    <x:mergeCell ref="A1:H1"/>
    <x:mergeCell ref="A18:E18"/>
    <x:mergeCell ref="A35:F35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3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4" hidden="0" customWidth="1"/>
    <x:col min="9" max="9" width="14" hidden="0" customWidth="1"/>
    <x:col min="10" max="10" width="44" hidden="0" customWidth="1"/>
  </x:cols>
  <x:sheetData>
    <x:row r="1">
      <x:c r="A1" s="102" t="str">
        <x:v>Comparable Company Analysis</x:v>
      </x:c>
      <x:c r="B1" s="102" t="str">
        <x:v>Comparable Company Analysis</x:v>
      </x:c>
      <x:c r="C1" s="102" t="str">
        <x:v>Comparable Company Analysis</x:v>
      </x:c>
      <x:c r="D1" s="102" t="str">
        <x:v>Comparable Company Analysis</x:v>
      </x:c>
      <x:c r="E1" s="102" t="str">
        <x:v>Comparable Company Analysis</x:v>
      </x:c>
      <x:c r="F1" s="102" t="str">
        <x:v>Comparable Company Analysis</x:v>
      </x:c>
      <x:c r="G1" s="102" t="str">
        <x:v>Comparable Company Analysis</x:v>
      </x:c>
      <x:c r="H1" s="102" t="str">
        <x:v>Comparable Company Analysis</x:v>
      </x:c>
      <x:c r="I1" s="102" t="str">
        <x:v>Comparable Company Analysis</x:v>
      </x:c>
      <x:c r="J1" s="102" t="str">
        <x:v>Comparable Company Analysis</x:v>
      </x:c>
    </x:row>
    <x:row r="2">
      <x:c r="A2" s="103"/>
      <x:c r="B2" s="103"/>
      <x:c r="C2" s="103"/>
      <x:c r="D2" s="103"/>
      <x:c r="E2" s="103"/>
      <x:c r="F2" s="103"/>
      <x:c r="G2" s="103"/>
      <x:c r="H2" s="103"/>
      <x:c r="I2" s="103"/>
      <x:c r="J2" s="103"/>
    </x:row>
    <x:row r="3">
      <x:c r="A3" s="106" t="str">
        <x:v>Company</x:v>
      </x:c>
      <x:c r="B3" s="107" t="str">
        <x:v>Ticker</x:v>
      </x:c>
      <x:c r="C3" s="107" t="str">
        <x:v>Business fit</x:v>
      </x:c>
      <x:c r="D3" s="107" t="str">
        <x:v>Market cap</x:v>
      </x:c>
      <x:c r="E3" s="107" t="str">
        <x:v>Enterprise value</x:v>
      </x:c>
      <x:c r="F3" s="107" t="str">
        <x:v>Revenue</x:v>
      </x:c>
      <x:c r="G3" s="107" t="str">
        <x:v>EBITDA</x:v>
      </x:c>
      <x:c r="H3" s="107" t="str">
        <x:v>EV/Revenue</x:v>
      </x:c>
      <x:c r="I3" s="107" t="str">
        <x:v>EV/EBITDA</x:v>
      </x:c>
      <x:c r="J3" s="108" t="str">
        <x:v>Source / notes</x:v>
      </x:c>
    </x:row>
    <x:row r="4">
      <x:c r="A4" s="103" t="str">
        <x:v>Swiggy</x:v>
      </x:c>
      <x:c r="B4" s="103" t="str">
        <x:v>SWIGGY.NS</x:v>
      </x:c>
      <x:c r="C4" s="103" t="str">
        <x:v>India food delivery / quick commerce</x:v>
      </x:c>
      <x:c r="D4" s="143"/>
      <x:c r="E4" s="143"/>
      <x:c r="F4" s="143"/>
      <x:c r="G4" s="143"/>
      <x:c r="H4" s="198" t="str">
        <x:f>IFERROR(E4/F4,"")</x:f>
      </x:c>
      <x:c r="I4" s="198" t="str">
        <x:f>IFERROR(E4/G4,"")</x:f>
      </x:c>
      <x:c r="J4" s="94" t="str">
        <x:v>Closest listed India peer if current market data is available.</x:v>
      </x:c>
    </x:row>
    <x:row r="5">
      <x:c r="A5" s="103" t="str">
        <x:v>DoorDash</x:v>
      </x:c>
      <x:c r="B5" s="103" t="str">
        <x:v>DASH</x:v>
      </x:c>
      <x:c r="C5" s="103" t="str">
        <x:v>Global food delivery / local commerce</x:v>
      </x:c>
      <x:c r="D5" s="143"/>
      <x:c r="E5" s="143"/>
      <x:c r="F5" s="143"/>
      <x:c r="G5" s="143"/>
      <x:c r="H5" s="198" t="str">
        <x:f>IFERROR(E5/F5,"")</x:f>
      </x:c>
      <x:c r="I5" s="198" t="str">
        <x:f>IFERROR(E5/G5,"")</x:f>
      </x:c>
      <x:c r="J5" s="94" t="str">
        <x:v>Useful global benchmark; currency consistency required.</x:v>
      </x:c>
    </x:row>
    <x:row r="6">
      <x:c r="A6" s="103" t="str">
        <x:v>Deliveroo</x:v>
      </x:c>
      <x:c r="B6" s="103" t="str">
        <x:v>ROO.L</x:v>
      </x:c>
      <x:c r="C6" s="103" t="str">
        <x:v>UK food delivery</x:v>
      </x:c>
      <x:c r="D6" s="143"/>
      <x:c r="E6" s="143"/>
      <x:c r="F6" s="143"/>
      <x:c r="G6" s="143"/>
      <x:c r="H6" s="198" t="str">
        <x:f>IFERROR(E6/F6,"")</x:f>
      </x:c>
      <x:c r="I6" s="198" t="str">
        <x:f>IFERROR(E6/G6,"")</x:f>
      </x:c>
      <x:c r="J6" s="94" t="str">
        <x:v>Check current listing status and latest market data.</x:v>
      </x:c>
    </x:row>
    <x:row r="7">
      <x:c r="A7" s="103" t="str">
        <x:v>Delivery Hero</x:v>
      </x:c>
      <x:c r="B7" s="103" t="str">
        <x:v>DHER.DE</x:v>
      </x:c>
      <x:c r="C7" s="103" t="str">
        <x:v>Global food delivery</x:v>
      </x:c>
      <x:c r="D7" s="143"/>
      <x:c r="E7" s="143"/>
      <x:c r="F7" s="143"/>
      <x:c r="G7" s="143"/>
      <x:c r="H7" s="198" t="str">
        <x:f>IFERROR(E7/F7,"")</x:f>
      </x:c>
      <x:c r="I7" s="198" t="str">
        <x:f>IFERROR(E7/G7,"")</x:f>
      </x:c>
      <x:c r="J7" s="94" t="str">
        <x:v>Peer for scale and margin cross-check.</x:v>
      </x:c>
    </x:row>
    <x:row r="8">
      <x:c r="A8" s="103" t="str">
        <x:v>Meituan</x:v>
      </x:c>
      <x:c r="B8" s="103" t="str">
        <x:v>3690.HK</x:v>
      </x:c>
      <x:c r="C8" s="103" t="str">
        <x:v>China local services</x:v>
      </x:c>
      <x:c r="D8" s="143"/>
      <x:c r="E8" s="143"/>
      <x:c r="F8" s="143"/>
      <x:c r="G8" s="143"/>
      <x:c r="H8" s="198" t="str">
        <x:f>IFERROR(E8/F8,"")</x:f>
      </x:c>
      <x:c r="I8" s="198" t="str">
        <x:f>IFERROR(E8/G8,"")</x:f>
      </x:c>
      <x:c r="J8" s="94" t="str">
        <x:v>Strategic peer but scale/geography differences are material.</x:v>
      </x:c>
    </x:row>
    <x:row r="9">
      <x:c r="A9" s="103" t="str">
        <x:v>Maplebear / Instacart</x:v>
      </x:c>
      <x:c r="B9" s="103" t="str">
        <x:v>CART</x:v>
      </x:c>
      <x:c r="C9" s="103" t="str">
        <x:v>Grocery / quick-commerce adjacent</x:v>
      </x:c>
      <x:c r="D9" s="143"/>
      <x:c r="E9" s="143"/>
      <x:c r="F9" s="143"/>
      <x:c r="G9" s="143"/>
      <x:c r="H9" s="198" t="str">
        <x:f>IFERROR(E9/F9,"")</x:f>
      </x:c>
      <x:c r="I9" s="198" t="str">
        <x:f>IFERROR(E9/G9,"")</x:f>
      </x:c>
      <x:c r="J9" s="94" t="str">
        <x:v>Optional quick-commerce comp.</x:v>
      </x:c>
    </x:row>
    <x:row r="10">
      <x:c r="A10" s="103" t="str">
        <x:v>Jubilant FoodWorks</x:v>
      </x:c>
      <x:c r="B10" s="103" t="str">
        <x:v>JUBLFOOD.NS</x:v>
      </x:c>
      <x:c r="C10" s="103" t="str">
        <x:v>India food services</x:v>
      </x:c>
      <x:c r="D10" s="143"/>
      <x:c r="E10" s="143"/>
      <x:c r="F10" s="143"/>
      <x:c r="G10" s="143"/>
      <x:c r="H10" s="198" t="str">
        <x:f>IFERROR(E10/F10,"")</x:f>
      </x:c>
      <x:c r="I10" s="198" t="str">
        <x:f>IFERROR(E10/G10,"")</x:f>
      </x:c>
      <x:c r="J10" s="94" t="str">
        <x:v>Useful domestic consumer/food benchmark, less direct digitally.</x:v>
      </x:c>
    </x:row>
    <x:row r="11">
      <x:c r="A11" s="158" t="str">
        <x:v>Median</x:v>
      </x:c>
      <x:c r="B11" s="158" t="str"/>
      <x:c r="C11" s="158" t="str"/>
      <x:c r="D11" s="158"/>
      <x:c r="E11" s="158"/>
      <x:c r="F11" s="158"/>
      <x:c r="G11" s="158"/>
      <x:c r="H11" s="199" t="n">
        <x:f>IFERROR(MEDIAN(H4:H10),0)</x:f>
        <x:v>0</x:v>
      </x:c>
      <x:c r="I11" s="199" t="n">
        <x:f>IFERROR(MEDIAN(I4:I10),0)</x:f>
        <x:v>0</x:v>
      </x:c>
      <x:c r="J11" s="205" t="str"/>
    </x:row>
    <x:row r="12">
      <x:c r="A12" s="103"/>
      <x:c r="B12" s="103"/>
      <x:c r="C12" s="103"/>
      <x:c r="D12" s="103"/>
      <x:c r="E12" s="103"/>
      <x:c r="F12" s="103"/>
      <x:c r="G12" s="103"/>
      <x:c r="H12" s="103"/>
      <x:c r="I12" s="103"/>
      <x:c r="J12" s="103"/>
    </x:row>
    <x:row r="13">
      <x:c r="A13" s="103"/>
      <x:c r="B13" s="103"/>
      <x:c r="C13" s="103"/>
      <x:c r="D13" s="103"/>
      <x:c r="E13" s="103"/>
      <x:c r="F13" s="103"/>
      <x:c r="G13" s="103"/>
      <x:c r="H13" s="103"/>
      <x:c r="I13" s="103"/>
      <x:c r="J13" s="103"/>
    </x:row>
    <x:row r="14">
      <x:c r="A14" s="105" t="str">
        <x:v>Implied Valuation</x:v>
      </x:c>
      <x:c r="B14" s="105" t="str">
        <x:v>Implied Valuation</x:v>
      </x:c>
      <x:c r="C14" s="105" t="str">
        <x:v>Implied Valuation</x:v>
      </x:c>
      <x:c r="D14" s="105" t="str">
        <x:v>Implied Valuation</x:v>
      </x:c>
      <x:c r="E14" s="105" t="str">
        <x:v>Implied Valuation</x:v>
      </x:c>
      <x:c r="F14" s="105" t="str">
        <x:v>Implied Valuation</x:v>
      </x:c>
      <x:c r="G14" s="105" t="str">
        <x:v>Implied Valuation</x:v>
      </x:c>
      <x:c r="H14" s="105" t="str">
        <x:v>Implied Valuation</x:v>
      </x:c>
      <x:c r="I14" s="103"/>
      <x:c r="J14" s="103"/>
    </x:row>
    <x:row r="15">
      <x:c r="A15" s="106" t="str">
        <x:v>Method</x:v>
      </x:c>
      <x:c r="B15" s="107" t="str">
        <x:v>Metric</x:v>
      </x:c>
      <x:c r="C15" s="107" t="str">
        <x:v>Median multiple</x:v>
      </x:c>
      <x:c r="D15" s="107" t="str">
        <x:v>Low</x:v>
      </x:c>
      <x:c r="E15" s="107" t="str">
        <x:v>Mid</x:v>
      </x:c>
      <x:c r="F15" s="107" t="str">
        <x:v>High</x:v>
      </x:c>
      <x:c r="G15" s="107" t="str">
        <x:v>Implied EV</x:v>
      </x:c>
      <x:c r="H15" s="108" t="str">
        <x:v>Implied value / share</x:v>
      </x:c>
      <x:c r="I15" s="103"/>
      <x:c r="J15" s="103"/>
    </x:row>
    <x:row r="16">
      <x:c r="A16" s="103" t="str">
        <x:v>EV / Revenue</x:v>
      </x:c>
      <x:c r="B16" s="188" t="n">
        <x:f>'Operating Model'!G4</x:f>
        <x:v>0</x:v>
      </x:c>
      <x:c r="C16" s="111" t="n">
        <x:f>H11</x:f>
        <x:v>0</x:v>
      </x:c>
      <x:c r="D16" s="111" t="n">
        <x:f>IFERROR(C16*(1-'Assumptions'!E25),0)</x:f>
        <x:v>0</x:v>
      </x:c>
      <x:c r="E16" s="111" t="n">
        <x:f>IFERROR(C16,0)</x:f>
        <x:v>0</x:v>
      </x:c>
      <x:c r="F16" s="111" t="n">
        <x:f>IFERROR(C16*(1+'Assumptions'!E26),0)</x:f>
        <x:v>0</x:v>
      </x:c>
      <x:c r="G16" s="188" t="n">
        <x:f>IFERROR(B16*E16,0)</x:f>
        <x:v>0</x:v>
      </x:c>
      <x:c r="H16" s="109" t="n">
        <x:f>IFERROR((G16-'Assumptions'!B32)/'Operating Model'!G20,0)</x:f>
        <x:v>0</x:v>
      </x:c>
      <x:c r="I16" s="103"/>
      <x:c r="J16" s="103"/>
    </x:row>
    <x:row r="17">
      <x:c r="A17" s="103" t="str">
        <x:v>EV / EBITDA</x:v>
      </x:c>
      <x:c r="B17" s="188" t="n">
        <x:f>'Operating Model'!G7</x:f>
        <x:v>0</x:v>
      </x:c>
      <x:c r="C17" s="111" t="n">
        <x:f>I11</x:f>
        <x:v>0</x:v>
      </x:c>
      <x:c r="D17" s="111" t="n">
        <x:f>IFERROR(C17*(1-'Assumptions'!E25),0)</x:f>
        <x:v>0</x:v>
      </x:c>
      <x:c r="E17" s="111" t="n">
        <x:f>IFERROR(C17,0)</x:f>
        <x:v>0</x:v>
      </x:c>
      <x:c r="F17" s="111" t="n">
        <x:f>IFERROR(C17*(1+'Assumptions'!E26),0)</x:f>
        <x:v>0</x:v>
      </x:c>
      <x:c r="G17" s="188" t="n">
        <x:f>IFERROR(B17*E17,0)</x:f>
        <x:v>0</x:v>
      </x:c>
      <x:c r="H17" s="109" t="n">
        <x:f>IFERROR((G17-'Assumptions'!B32)/'Operating Model'!G20,0)</x:f>
        <x:v>0</x:v>
      </x:c>
      <x:c r="I17" s="103"/>
      <x:c r="J17" s="103"/>
    </x:row>
    <x:row r="18">
      <x:c r="A18" s="158" t="str">
        <x:v>Selected comps</x:v>
      </x:c>
      <x:c r="B18" s="200" t="n">
        <x:f>AVERAGE(B16:B17)</x:f>
        <x:v>0</x:v>
      </x:c>
      <x:c r="C18" s="201"/>
      <x:c r="D18" s="201" t="n">
        <x:f>IFERROR(AVERAGE(D16:D17),0)</x:f>
        <x:v>0</x:v>
      </x:c>
      <x:c r="E18" s="201" t="n">
        <x:f>IFERROR(AVERAGE(E16:E17),0)</x:f>
        <x:v>0</x:v>
      </x:c>
      <x:c r="F18" s="201" t="n">
        <x:f>IFERROR(AVERAGE(F16:F17),0)</x:f>
        <x:v>0</x:v>
      </x:c>
      <x:c r="G18" s="200" t="n">
        <x:f>IFERROR(AVERAGE(G16:G17),0)</x:f>
        <x:v>0</x:v>
      </x:c>
      <x:c r="H18" s="191" t="n">
        <x:f>IFERROR(AVERAGE(H16:H17),0)</x:f>
        <x:v>0</x:v>
      </x:c>
      <x:c r="I18" s="103"/>
      <x:c r="J18" s="103"/>
    </x:row>
  </x:sheetData>
  <x:mergeCells>
    <x:mergeCell ref="A1:J1"/>
    <x:mergeCell ref="A14:H1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4" hidden="0" customWidth="1"/>
    <x:col min="4" max="4" width="28" hidden="0" customWidth="1"/>
    <x:col min="5" max="5" width="18" hidden="0" customWidth="1"/>
    <x:col min="6" max="6" width="16" hidden="0" customWidth="1"/>
    <x:col min="7" max="7" width="16" hidden="0" customWidth="1"/>
    <x:col min="8" max="8" width="14" hidden="0" customWidth="1"/>
    <x:col min="9" max="9" width="14" hidden="0" customWidth="1"/>
    <x:col min="10" max="10" width="44" hidden="0" customWidth="1"/>
  </x:cols>
  <x:sheetData>
    <x:row r="1">
      <x:c r="A1" s="102" t="str">
        <x:v>Precedent Transactions</x:v>
      </x:c>
      <x:c r="B1" s="102" t="str">
        <x:v>Precedent Transactions</x:v>
      </x:c>
      <x:c r="C1" s="102" t="str">
        <x:v>Precedent Transactions</x:v>
      </x:c>
      <x:c r="D1" s="102" t="str">
        <x:v>Precedent Transactions</x:v>
      </x:c>
      <x:c r="E1" s="102" t="str">
        <x:v>Precedent Transactions</x:v>
      </x:c>
      <x:c r="F1" s="102" t="str">
        <x:v>Precedent Transactions</x:v>
      </x:c>
      <x:c r="G1" s="102" t="str">
        <x:v>Precedent Transactions</x:v>
      </x:c>
      <x:c r="H1" s="102" t="str">
        <x:v>Precedent Transactions</x:v>
      </x:c>
      <x:c r="I1" s="102" t="str">
        <x:v>Precedent Transactions</x:v>
      </x:c>
      <x:c r="J1" s="102" t="str">
        <x:v>Precedent Transactions</x:v>
      </x:c>
    </x:row>
    <x:row r="2">
      <x:c r="A2" s="103"/>
      <x:c r="B2" s="103"/>
      <x:c r="C2" s="103"/>
      <x:c r="D2" s="103"/>
      <x:c r="E2" s="103"/>
      <x:c r="F2" s="103"/>
      <x:c r="G2" s="103"/>
      <x:c r="H2" s="103"/>
      <x:c r="I2" s="103"/>
      <x:c r="J2" s="103"/>
    </x:row>
    <x:row r="3">
      <x:c r="A3" s="106" t="str">
        <x:v>Target / asset</x:v>
      </x:c>
      <x:c r="B3" s="107" t="str">
        <x:v>Acquirer</x:v>
      </x:c>
      <x:c r="C3" s="107" t="str">
        <x:v>Announced</x:v>
      </x:c>
      <x:c r="D3" s="107" t="str">
        <x:v>Business fit</x:v>
      </x:c>
      <x:c r="E3" s="107" t="str">
        <x:v>Transaction value</x:v>
      </x:c>
      <x:c r="F3" s="107" t="str">
        <x:v>Revenue</x:v>
      </x:c>
      <x:c r="G3" s="107" t="str">
        <x:v>EBITDA</x:v>
      </x:c>
      <x:c r="H3" s="107" t="str">
        <x:v>EV/Revenue</x:v>
      </x:c>
      <x:c r="I3" s="107" t="str">
        <x:v>EV/EBITDA</x:v>
      </x:c>
      <x:c r="J3" s="108" t="str">
        <x:v>Source / notes</x:v>
      </x:c>
    </x:row>
    <x:row r="4">
      <x:c r="A4" s="103" t="str">
        <x:v>Blinkit</x:v>
      </x:c>
      <x:c r="B4" s="103" t="str">
        <x:v>Zomato</x:v>
      </x:c>
      <x:c r="C4" s="103" t="str">
        <x:v>2022</x:v>
      </x:c>
      <x:c r="D4" s="103" t="str">
        <x:v>Quick commerce</x:v>
      </x:c>
      <x:c r="E4" s="143"/>
      <x:c r="F4" s="143"/>
      <x:c r="G4" s="143"/>
      <x:c r="H4" s="198" t="str">
        <x:f>IFERROR(E4/F4,"")</x:f>
      </x:c>
      <x:c r="I4" s="198" t="str">
        <x:f>IFERROR(E4/G4,"")</x:f>
      </x:c>
      <x:c r="J4" s="94" t="str">
        <x:v>Useful strategic precedent; verify transaction value and revenue base.</x:v>
      </x:c>
    </x:row>
    <x:row r="5">
      <x:c r="A5" s="103" t="str">
        <x:v>Wolt</x:v>
      </x:c>
      <x:c r="B5" s="103" t="str">
        <x:v>DoorDash</x:v>
      </x:c>
      <x:c r="C5" s="103" t="str">
        <x:v>2021</x:v>
      </x:c>
      <x:c r="D5" s="103" t="str">
        <x:v>Food delivery / local commerce</x:v>
      </x:c>
      <x:c r="E5" s="143"/>
      <x:c r="F5" s="143"/>
      <x:c r="G5" s="143"/>
      <x:c r="H5" s="198" t="str">
        <x:f>IFERROR(E5/F5,"")</x:f>
      </x:c>
      <x:c r="I5" s="198" t="str">
        <x:f>IFERROR(E5/G5,"")</x:f>
      </x:c>
      <x:c r="J5" s="94" t="str">
        <x:v>Global delivery precedent; check deal currency/date.</x:v>
      </x:c>
    </x:row>
    <x:row r="6">
      <x:c r="A6" s="103" t="str">
        <x:v>Glovo stake / acquisition</x:v>
      </x:c>
      <x:c r="B6" s="103" t="str">
        <x:v>Delivery Hero</x:v>
      </x:c>
      <x:c r="C6" s="103" t="str">
        <x:v>2021</x:v>
      </x:c>
      <x:c r="D6" s="103" t="str">
        <x:v>Food delivery</x:v>
      </x:c>
      <x:c r="E6" s="143"/>
      <x:c r="F6" s="143"/>
      <x:c r="G6" s="143"/>
      <x:c r="H6" s="198" t="str">
        <x:f>IFERROR(E6/F6,"")</x:f>
      </x:c>
      <x:c r="I6" s="198" t="str">
        <x:f>IFERROR(E6/G6,"")</x:f>
      </x:c>
      <x:c r="J6" s="94" t="str">
        <x:v>European food delivery precedent.</x:v>
      </x:c>
    </x:row>
    <x:row r="7">
      <x:c r="A7" s="103" t="str">
        <x:v>Careem food / grocery assets</x:v>
      </x:c>
      <x:c r="B7" s="103" t="str">
        <x:v>Uber / regional buyers</x:v>
      </x:c>
      <x:c r="C7" s="103" t="str">
        <x:v>TBD</x:v>
      </x:c>
      <x:c r="D7" s="103" t="str">
        <x:v>Local commerce</x:v>
      </x:c>
      <x:c r="E7" s="143"/>
      <x:c r="F7" s="143"/>
      <x:c r="G7" s="143"/>
      <x:c r="H7" s="198" t="str">
        <x:f>IFERROR(E7/F7,"")</x:f>
      </x:c>
      <x:c r="I7" s="198" t="str">
        <x:f>IFERROR(E7/G7,"")</x:f>
      </x:c>
      <x:c r="J7" s="94" t="str">
        <x:v>Use only if data is auditable.</x:v>
      </x:c>
    </x:row>
    <x:row r="8">
      <x:c r="A8" s="103" t="str">
        <x:v>Quick-commerce asset</x:v>
      </x:c>
      <x:c r="B8" s="103" t="str">
        <x:v>TBD</x:v>
      </x:c>
      <x:c r="C8" s="103" t="str">
        <x:v>TBD</x:v>
      </x:c>
      <x:c r="D8" s="103" t="str">
        <x:v>Quick commerce</x:v>
      </x:c>
      <x:c r="E8" s="143"/>
      <x:c r="F8" s="143"/>
      <x:c r="G8" s="143"/>
      <x:c r="H8" s="198" t="str">
        <x:f>IFERROR(E8/F8,"")</x:f>
      </x:c>
      <x:c r="I8" s="198" t="str">
        <x:f>IFERROR(E8/G8,"")</x:f>
      </x:c>
      <x:c r="J8" s="94" t="str">
        <x:v>Optional if relevant Indian deal data is available.</x:v>
      </x:c>
    </x:row>
    <x:row r="9">
      <x:c r="A9" s="158" t="str">
        <x:v>Median</x:v>
      </x:c>
      <x:c r="B9" s="158" t="str"/>
      <x:c r="C9" s="158" t="str"/>
      <x:c r="D9" s="158" t="str"/>
      <x:c r="E9" s="158"/>
      <x:c r="F9" s="158"/>
      <x:c r="G9" s="158"/>
      <x:c r="H9" s="199" t="n">
        <x:f>IFERROR(MEDIAN(H4:H8),0)</x:f>
        <x:v>0</x:v>
      </x:c>
      <x:c r="I9" s="199" t="n">
        <x:f>IFERROR(MEDIAN(I4:I8),0)</x:f>
        <x:v>0</x:v>
      </x:c>
      <x:c r="J9" s="205" t="str"/>
    </x:row>
    <x:row r="10">
      <x:c r="A10" s="103"/>
      <x:c r="B10" s="103"/>
      <x:c r="C10" s="103"/>
      <x:c r="D10" s="103"/>
      <x:c r="E10" s="103"/>
      <x:c r="F10" s="103"/>
      <x:c r="G10" s="103"/>
      <x:c r="H10" s="103"/>
      <x:c r="I10" s="103"/>
      <x:c r="J10" s="103"/>
    </x:row>
    <x:row r="11">
      <x:c r="A11" s="103"/>
      <x:c r="B11" s="103"/>
      <x:c r="C11" s="103"/>
      <x:c r="D11" s="103"/>
      <x:c r="E11" s="103"/>
      <x:c r="F11" s="103"/>
      <x:c r="G11" s="103"/>
      <x:c r="H11" s="103"/>
      <x:c r="I11" s="103"/>
      <x:c r="J11" s="103"/>
    </x:row>
    <x:row r="12">
      <x:c r="A12" s="105" t="str">
        <x:v>Implied Precedent Valuation</x:v>
      </x:c>
      <x:c r="B12" s="105" t="str">
        <x:v>Implied Precedent Valuation</x:v>
      </x:c>
      <x:c r="C12" s="105" t="str">
        <x:v>Implied Precedent Valuation</x:v>
      </x:c>
      <x:c r="D12" s="105" t="str">
        <x:v>Implied Precedent Valuation</x:v>
      </x:c>
      <x:c r="E12" s="105" t="str">
        <x:v>Implied Precedent Valuation</x:v>
      </x:c>
      <x:c r="F12" s="105" t="str">
        <x:v>Implied Precedent Valuation</x:v>
      </x:c>
      <x:c r="G12" s="105" t="str">
        <x:v>Implied Precedent Valuation</x:v>
      </x:c>
      <x:c r="H12" s="105" t="str">
        <x:v>Implied Precedent Valuation</x:v>
      </x:c>
      <x:c r="I12" s="103"/>
      <x:c r="J12" s="103"/>
    </x:row>
    <x:row r="13">
      <x:c r="A13" s="106" t="str">
        <x:v>Method</x:v>
      </x:c>
      <x:c r="B13" s="107" t="str">
        <x:v>Metric</x:v>
      </x:c>
      <x:c r="C13" s="107" t="str">
        <x:v>Median multiple</x:v>
      </x:c>
      <x:c r="D13" s="107" t="str">
        <x:v>Control premium</x:v>
      </x:c>
      <x:c r="E13" s="107" t="str">
        <x:v>Selected multiple</x:v>
      </x:c>
      <x:c r="F13" s="107" t="str">
        <x:v>Implied EV</x:v>
      </x:c>
      <x:c r="G13" s="107" t="str">
        <x:v>Implied value / share</x:v>
      </x:c>
      <x:c r="H13" s="108" t="str">
        <x:v>Notes</x:v>
      </x:c>
      <x:c r="I13" s="103"/>
      <x:c r="J13" s="103"/>
    </x:row>
    <x:row r="14">
      <x:c r="A14" s="103" t="str">
        <x:v>EV / Revenue</x:v>
      </x:c>
      <x:c r="B14" s="188" t="n">
        <x:f>'Operating Model'!G4</x:f>
        <x:v>0</x:v>
      </x:c>
      <x:c r="C14" s="111" t="n">
        <x:f>H9</x:f>
        <x:v>0</x:v>
      </x:c>
      <x:c r="D14" s="110" t="n">
        <x:f>'Assumptions'!E27</x:f>
        <x:v>0.2</x:v>
      </x:c>
      <x:c r="E14" s="111" t="n">
        <x:f>IFERROR(C14*(1+D14),0)</x:f>
        <x:v>0</x:v>
      </x:c>
      <x:c r="F14" s="188" t="n">
        <x:f>IFERROR(B14*E14,0)</x:f>
        <x:v>0</x:v>
      </x:c>
      <x:c r="G14" s="109" t="n">
        <x:f>IFERROR((F14-'Assumptions'!B32)/'Operating Model'!G20,0)</x:f>
        <x:v>0</x:v>
      </x:c>
      <x:c r="H14" s="103" t="str">
        <x:v>Use only if transaction set is credible.</x:v>
      </x:c>
      <x:c r="I14" s="103"/>
      <x:c r="J14" s="103"/>
    </x:row>
    <x:row r="15">
      <x:c r="A15" s="103" t="str">
        <x:v>EV / EBITDA</x:v>
      </x:c>
      <x:c r="B15" s="188" t="n">
        <x:f>'Operating Model'!G7</x:f>
        <x:v>0</x:v>
      </x:c>
      <x:c r="C15" s="111" t="n">
        <x:f>I9</x:f>
        <x:v>0</x:v>
      </x:c>
      <x:c r="D15" s="110" t="n">
        <x:f>'Assumptions'!E27</x:f>
        <x:v>0.2</x:v>
      </x:c>
      <x:c r="E15" s="111" t="n">
        <x:f>IFERROR(C15*(1+D15),0)</x:f>
        <x:v>0</x:v>
      </x:c>
      <x:c r="F15" s="188" t="n">
        <x:f>IFERROR(B15*E15,0)</x:f>
        <x:v>0</x:v>
      </x:c>
      <x:c r="G15" s="109" t="n">
        <x:f>IFERROR((F15-'Assumptions'!B32)/'Operating Model'!G20,0)</x:f>
        <x:v>0</x:v>
      </x:c>
      <x:c r="H15" s="103" t="str">
        <x:v>Use only if EBITDA bases are clean.</x:v>
      </x:c>
      <x:c r="I15" s="103"/>
      <x:c r="J15" s="103"/>
    </x:row>
  </x:sheetData>
  <x:mergeCells>
    <x:mergeCell ref="A1:J1"/>
    <x:mergeCell ref="A12:H1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46" hidden="0" customWidth="1"/>
    <x:col min="6" max="6" width="4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102" t="str">
        <x:v>Football Field Valuation Summary</x:v>
      </x:c>
      <x:c r="B1" s="102" t="str">
        <x:v>Football Field Valuation Summary</x:v>
      </x:c>
      <x:c r="C1" s="102" t="str">
        <x:v>Football Field Valuation Summary</x:v>
      </x:c>
      <x:c r="D1" s="102" t="str">
        <x:v>Football Field Valuation Summary</x:v>
      </x:c>
      <x:c r="E1" s="102" t="str">
        <x:v>Football Field Valuation Summary</x:v>
      </x:c>
      <x:c r="F1" s="102" t="str">
        <x:v>Football Field Valuation Summary</x:v>
      </x:c>
      <x:c r="G1" s="102" t="str">
        <x:v>Football Field Valuation Summary</x:v>
      </x:c>
      <x:c r="H1" s="102" t="str">
        <x:v>Football Field Valuation Summary</x:v>
      </x:c>
      <x:c r="I1" s="103"/>
      <x:c r="J1" s="103"/>
    </x:row>
    <x:row r="2">
      <x:c r="A2" s="103"/>
      <x:c r="B2" s="103"/>
      <x:c r="C2" s="103"/>
      <x:c r="D2" s="103"/>
      <x:c r="E2" s="103"/>
      <x:c r="F2" s="103"/>
      <x:c r="G2" s="103"/>
      <x:c r="H2" s="103"/>
      <x:c r="I2" s="103"/>
      <x:c r="J2" s="103"/>
    </x:row>
    <x:row r="3">
      <x:c r="A3" s="106" t="str">
        <x:v>Method</x:v>
      </x:c>
      <x:c r="B3" s="107" t="str">
        <x:v>Low</x:v>
      </x:c>
      <x:c r="C3" s="107" t="str">
        <x:v>Mid</x:v>
      </x:c>
      <x:c r="D3" s="107" t="str">
        <x:v>High</x:v>
      </x:c>
      <x:c r="E3" s="108" t="str">
        <x:v>Notes</x:v>
      </x:c>
      <x:c r="F3" s="103"/>
      <x:c r="G3" s="105" t="str">
        <x:v>Chart Helper</x:v>
      </x:c>
      <x:c r="H3" s="105" t="str">
        <x:v>Chart Helper</x:v>
      </x:c>
      <x:c r="I3" s="105" t="str">
        <x:v>Chart Helper</x:v>
      </x:c>
      <x:c r="J3" s="105" t="str">
        <x:v>Chart Helper</x:v>
      </x:c>
    </x:row>
    <x:row r="4">
      <x:c r="A4" s="103" t="str">
        <x:v>DCF - Gordon Growth</x:v>
      </x:c>
      <x:c r="B4" s="109" t="n">
        <x:f>'DCF'!B28</x:f>
        <x:v>0</x:v>
      </x:c>
      <x:c r="C4" s="109" t="n">
        <x:f>'DCF'!B29</x:f>
        <x:v>0</x:v>
      </x:c>
      <x:c r="D4" s="109" t="n">
        <x:f>'DCF'!B30</x:f>
        <x:v>0</x:v>
      </x:c>
      <x:c r="E4" s="103" t="str">
        <x:v>From DCF sensitivity and bridge</x:v>
      </x:c>
      <x:c r="F4" s="103"/>
      <x:c r="G4" s="103" t="str">
        <x:v>Method</x:v>
      </x:c>
      <x:c r="H4" s="103" t="str">
        <x:v>Low</x:v>
      </x:c>
      <x:c r="I4" s="103" t="str">
        <x:v>Range</x:v>
      </x:c>
      <x:c r="J4" s="103" t="str">
        <x:v>Mid</x:v>
      </x:c>
    </x:row>
    <x:row r="5">
      <x:c r="A5" s="103" t="str">
        <x:v>DCF - Exit Multiple</x:v>
      </x:c>
      <x:c r="B5" s="109" t="n">
        <x:f>'DCF'!C28</x:f>
        <x:v>0</x:v>
      </x:c>
      <x:c r="C5" s="109" t="n">
        <x:f>'DCF'!C29</x:f>
        <x:v>0</x:v>
      </x:c>
      <x:c r="D5" s="109" t="n">
        <x:f>'DCF'!C30</x:f>
        <x:v>0</x:v>
      </x:c>
      <x:c r="E5" s="103" t="str">
        <x:v>From DCF bridge</x:v>
      </x:c>
      <x:c r="F5" s="103"/>
      <x:c r="G5" s="103" t="str">
        <x:v>DCF - Gordon</x:v>
      </x:c>
      <x:c r="H5" s="109" t="n">
        <x:f>B4</x:f>
        <x:v>0</x:v>
      </x:c>
      <x:c r="I5" s="109" t="n">
        <x:f>D4-B4</x:f>
        <x:v>0</x:v>
      </x:c>
      <x:c r="J5" s="109" t="n">
        <x:f>C4</x:f>
        <x:v>0</x:v>
      </x:c>
    </x:row>
    <x:row r="6">
      <x:c r="A6" s="103" t="str">
        <x:v>Trading Comps</x:v>
      </x:c>
      <x:c r="B6" s="109" t="n">
        <x:f>'Trading Comps'!H16*(1-'Assumptions'!E25)</x:f>
        <x:v>0</x:v>
      </x:c>
      <x:c r="C6" s="109" t="n">
        <x:f>'Trading Comps'!H18</x:f>
        <x:v>0</x:v>
      </x:c>
      <x:c r="D6" s="109" t="n">
        <x:f>'Trading Comps'!H16*(1+'Assumptions'!E26)</x:f>
        <x:v>0</x:v>
      </x:c>
      <x:c r="E6" s="103" t="str">
        <x:v>Peer multiples; fill live data before relying on range</x:v>
      </x:c>
      <x:c r="F6" s="103"/>
      <x:c r="G6" s="103" t="str">
        <x:v>DCF - Exit</x:v>
      </x:c>
      <x:c r="H6" s="109" t="n">
        <x:f>B5</x:f>
        <x:v>0</x:v>
      </x:c>
      <x:c r="I6" s="109" t="n">
        <x:f>D5-B5</x:f>
        <x:v>0</x:v>
      </x:c>
      <x:c r="J6" s="109" t="n">
        <x:f>C5</x:f>
        <x:v>0</x:v>
      </x:c>
    </x:row>
    <x:row r="7">
      <x:c r="A7" s="103" t="str">
        <x:v>Precedents</x:v>
      </x:c>
      <x:c r="B7" s="109" t="n">
        <x:f>MIN('Precedents'!G14:G15)</x:f>
        <x:v>0</x:v>
      </x:c>
      <x:c r="C7" s="109" t="n">
        <x:f>AVERAGE('Precedents'!G14:G15)</x:f>
        <x:v>0</x:v>
      </x:c>
      <x:c r="D7" s="109" t="n">
        <x:f>MAX('Precedents'!G14:G15)</x:f>
        <x:v>0</x:v>
      </x:c>
      <x:c r="E7" s="103" t="str">
        <x:v>Optional; use only if transaction set is credible</x:v>
      </x:c>
      <x:c r="F7" s="103"/>
      <x:c r="G7" s="103" t="str">
        <x:v>Trading Comps</x:v>
      </x:c>
      <x:c r="H7" s="109" t="n">
        <x:f>B6</x:f>
        <x:v>0</x:v>
      </x:c>
      <x:c r="I7" s="109" t="n">
        <x:f>D6-B6</x:f>
        <x:v>0</x:v>
      </x:c>
      <x:c r="J7" s="109" t="n">
        <x:f>C6</x:f>
        <x:v>0</x:v>
      </x:c>
    </x:row>
    <x:row r="8">
      <x:c r="A8" s="158" t="str">
        <x:v>Selected range</x:v>
      </x:c>
      <x:c r="B8" s="191" t="n">
        <x:f>AVERAGE(B4:B7)</x:f>
        <x:v>0</x:v>
      </x:c>
      <x:c r="C8" s="191" t="n">
        <x:f>AVERAGE(C4:C7)</x:f>
        <x:v>0</x:v>
      </x:c>
      <x:c r="D8" s="191" t="n">
        <x:f>AVERAGE(D4:D7)</x:f>
        <x:v>0</x:v>
      </x:c>
      <x:c r="E8" s="103" t="str">
        <x:v>Average of available methods</x:v>
      </x:c>
      <x:c r="F8" s="103"/>
      <x:c r="G8" s="103" t="str">
        <x:v>Precedents</x:v>
      </x:c>
      <x:c r="H8" s="109" t="n">
        <x:f>B7</x:f>
        <x:v>0</x:v>
      </x:c>
      <x:c r="I8" s="109" t="n">
        <x:f>D7-B7</x:f>
        <x:v>0</x:v>
      </x:c>
      <x:c r="J8" s="109" t="n">
        <x:f>C7</x:f>
        <x:v>0</x:v>
      </x:c>
    </x:row>
    <x:row r="9">
      <x:c r="A9" s="103"/>
      <x:c r="B9" s="103"/>
      <x:c r="C9" s="103"/>
      <x:c r="D9" s="103"/>
      <x:c r="E9" s="103"/>
      <x:c r="F9" s="103"/>
      <x:c r="G9" s="103"/>
      <x:c r="H9" s="103"/>
      <x:c r="I9" s="103"/>
      <x:c r="J9" s="103"/>
    </x:row>
    <x:row r="10">
      <x:c r="A10" s="103"/>
      <x:c r="B10" s="103"/>
      <x:c r="C10" s="103"/>
      <x:c r="D10" s="103"/>
      <x:c r="E10" s="103"/>
      <x:c r="F10" s="103"/>
      <x:c r="G10" s="103"/>
      <x:c r="H10" s="103"/>
      <x:c r="I10" s="103"/>
      <x:c r="J10" s="103"/>
    </x:row>
    <x:row r="11">
      <x:c r="A11" s="105" t="str">
        <x:v>Football Field Chart Status</x:v>
      </x:c>
      <x:c r="B11" s="105" t="str">
        <x:v>Football Field Chart Status</x:v>
      </x:c>
      <x:c r="C11" s="105" t="str">
        <x:v>Football Field Chart Status</x:v>
      </x:c>
      <x:c r="D11" s="105" t="str">
        <x:v>Football Field Chart Status</x:v>
      </x:c>
      <x:c r="E11" s="105" t="str">
        <x:v>Football Field Chart Status</x:v>
      </x:c>
      <x:c r="F11" s="105" t="str">
        <x:v>Football Field Chart Status</x:v>
      </x:c>
      <x:c r="G11" s="105" t="str">
        <x:v>Football Field Chart Status</x:v>
      </x:c>
      <x:c r="H11" s="105" t="str">
        <x:v>Football Field Chart Status</x:v>
      </x:c>
      <x:c r="I11" s="103"/>
      <x:c r="J11" s="103"/>
    </x:row>
    <x:row r="12" ht="56" customHeight="1">
      <x:c r="A12" s="203" t="str">
        <x:v>The chart is intentionally deferred in Phase 1. Once historical actuals, market data, and peer / transaction multiples are populated, this sheet will convert the valuation range table into the final IB-style football field visual.</x:v>
      </x:c>
      <x:c r="B12" s="203" t="str">
        <x:v>The chart is intentionally deferred in Phase 1. Once historical actuals, market data, and peer / transaction multiples are populated, this sheet will convert the valuation range table into the final IB-style football field visual.</x:v>
      </x:c>
      <x:c r="C12" s="203" t="str">
        <x:v>The chart is intentionally deferred in Phase 1. Once historical actuals, market data, and peer / transaction multiples are populated, this sheet will convert the valuation range table into the final IB-style football field visual.</x:v>
      </x:c>
      <x:c r="D12" s="203" t="str">
        <x:v>The chart is intentionally deferred in Phase 1. Once historical actuals, market data, and peer / transaction multiples are populated, this sheet will convert the valuation range table into the final IB-style football field visual.</x:v>
      </x:c>
      <x:c r="E12" s="203" t="str">
        <x:v>The chart is intentionally deferred in Phase 1. Once historical actuals, market data, and peer / transaction multiples are populated, this sheet will convert the valuation range table into the final IB-style football field visual.</x:v>
      </x:c>
      <x:c r="F12" s="203" t="str">
        <x:v>The chart is intentionally deferred in Phase 1. Once historical actuals, market data, and peer / transaction multiples are populated, this sheet will convert the valuation range table into the final IB-style football field visual.</x:v>
      </x:c>
      <x:c r="G12" s="203" t="str">
        <x:v>The chart is intentionally deferred in Phase 1. Once historical actuals, market data, and peer / transaction multiples are populated, this sheet will convert the valuation range table into the final IB-style football field visual.</x:v>
      </x:c>
      <x:c r="H12" s="203" t="str">
        <x:v>The chart is intentionally deferred in Phase 1. Once historical actuals, market data, and peer / transaction multiples are populated, this sheet will convert the valuation range table into the final IB-style football field visual.</x:v>
      </x:c>
      <x:c r="I12" s="103"/>
      <x:c r="J12" s="103"/>
    </x:row>
    <x:row r="13" ht="56" customHeight="1">
      <x:c r="A13" s="203" t="str">
        <x:v>The chart is intentionally deferred in Phase 1. Once historical actuals, market data, and peer / transaction multiples are populated, this sheet will convert the valuation range table into the final IB-style football field visual.</x:v>
      </x:c>
      <x:c r="B13" s="203" t="str">
        <x:v>The chart is intentionally deferred in Phase 1. Once historical actuals, market data, and peer / transaction multiples are populated, this sheet will convert the valuation range table into the final IB-style football field visual.</x:v>
      </x:c>
      <x:c r="C13" s="203" t="str">
        <x:v>The chart is intentionally deferred in Phase 1. Once historical actuals, market data, and peer / transaction multiples are populated, this sheet will convert the valuation range table into the final IB-style football field visual.</x:v>
      </x:c>
      <x:c r="D13" s="203" t="str">
        <x:v>The chart is intentionally deferred in Phase 1. Once historical actuals, market data, and peer / transaction multiples are populated, this sheet will convert the valuation range table into the final IB-style football field visual.</x:v>
      </x:c>
      <x:c r="E13" s="203" t="str">
        <x:v>The chart is intentionally deferred in Phase 1. Once historical actuals, market data, and peer / transaction multiples are populated, this sheet will convert the valuation range table into the final IB-style football field visual.</x:v>
      </x:c>
      <x:c r="F13" s="203" t="str">
        <x:v>The chart is intentionally deferred in Phase 1. Once historical actuals, market data, and peer / transaction multiples are populated, this sheet will convert the valuation range table into the final IB-style football field visual.</x:v>
      </x:c>
      <x:c r="G13" s="203" t="str">
        <x:v>The chart is intentionally deferred in Phase 1. Once historical actuals, market data, and peer / transaction multiples are populated, this sheet will convert the valuation range table into the final IB-style football field visual.</x:v>
      </x:c>
      <x:c r="H13" s="203" t="str">
        <x:v>The chart is intentionally deferred in Phase 1. Once historical actuals, market data, and peer / transaction multiples are populated, this sheet will convert the valuation range table into the final IB-style football field visual.</x:v>
      </x:c>
      <x:c r="I13" s="103"/>
      <x:c r="J13" s="103"/>
    </x:row>
    <x:row r="14" ht="56" customHeight="1">
      <x:c r="A14" s="203" t="str">
        <x:v>The chart is intentionally deferred in Phase 1. Once historical actuals, market data, and peer / transaction multiples are populated, this sheet will convert the valuation range table into the final IB-style football field visual.</x:v>
      </x:c>
      <x:c r="B14" s="203" t="str">
        <x:v>The chart is intentionally deferred in Phase 1. Once historical actuals, market data, and peer / transaction multiples are populated, this sheet will convert the valuation range table into the final IB-style football field visual.</x:v>
      </x:c>
      <x:c r="C14" s="203" t="str">
        <x:v>The chart is intentionally deferred in Phase 1. Once historical actuals, market data, and peer / transaction multiples are populated, this sheet will convert the valuation range table into the final IB-style football field visual.</x:v>
      </x:c>
      <x:c r="D14" s="203" t="str">
        <x:v>The chart is intentionally deferred in Phase 1. Once historical actuals, market data, and peer / transaction multiples are populated, this sheet will convert the valuation range table into the final IB-style football field visual.</x:v>
      </x:c>
      <x:c r="E14" s="203" t="str">
        <x:v>The chart is intentionally deferred in Phase 1. Once historical actuals, market data, and peer / transaction multiples are populated, this sheet will convert the valuation range table into the final IB-style football field visual.</x:v>
      </x:c>
      <x:c r="F14" s="203" t="str">
        <x:v>The chart is intentionally deferred in Phase 1. Once historical actuals, market data, and peer / transaction multiples are populated, this sheet will convert the valuation range table into the final IB-style football field visual.</x:v>
      </x:c>
      <x:c r="G14" s="203" t="str">
        <x:v>The chart is intentionally deferred in Phase 1. Once historical actuals, market data, and peer / transaction multiples are populated, this sheet will convert the valuation range table into the final IB-style football field visual.</x:v>
      </x:c>
      <x:c r="H14" s="203" t="str">
        <x:v>The chart is intentionally deferred in Phase 1. Once historical actuals, market data, and peer / transaction multiples are populated, this sheet will convert the valuation range table into the final IB-style football field visual.</x:v>
      </x:c>
      <x:c r="I14" s="103"/>
      <x:c r="J14" s="103"/>
    </x:row>
  </x:sheetData>
  <x:mergeCells>
    <x:mergeCell ref="A1:H1"/>
    <x:mergeCell ref="G3:J3"/>
    <x:mergeCell ref="A11:H11"/>
    <x:mergeCell ref="A12:H14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64" hidden="0" customWidth="1"/>
    <x:col min="3" max="3" width="18" hidden="0" customWidth="1"/>
    <x:col min="4" max="4" width="18" hidden="0" customWidth="1"/>
  </x:cols>
  <x:sheetData>
    <x:row r="1">
      <x:c r="A1" s="102" t="str">
        <x:v>One-Page Investment Thesis Draft</x:v>
      </x:c>
      <x:c r="B1" s="102" t="str">
        <x:v>One-Page Investment Thesis Draft</x:v>
      </x:c>
      <x:c r="C1" s="102" t="str">
        <x:v>One-Page Investment Thesis Draft</x:v>
      </x:c>
      <x:c r="D1" s="102" t="str">
        <x:v>One-Page Investment Thesis Draft</x:v>
      </x:c>
    </x:row>
    <x:row r="2">
      <x:c r="A2" s="103"/>
      <x:c r="B2" s="103"/>
      <x:c r="C2" s="103"/>
      <x:c r="D2" s="103"/>
    </x:row>
    <x:row r="3">
      <x:c r="A3" s="104" t="str">
        <x:v>Company</x:v>
      </x:c>
      <x:c r="B3" s="103" t="str">
        <x:v>Eternal Limited</x:v>
      </x:c>
      <x:c r="C3" s="103"/>
      <x:c r="D3" s="103"/>
    </x:row>
    <x:row r="4">
      <x:c r="A4" s="104" t="str">
        <x:v>Ticker</x:v>
      </x:c>
      <x:c r="B4" s="103" t="str">
        <x:v>ETERNAL.NS / ETERNAL</x:v>
      </x:c>
      <x:c r="C4" s="103"/>
      <x:c r="D4" s="103"/>
    </x:row>
    <x:row r="5">
      <x:c r="A5" s="104" t="str">
        <x:v>Recommendation</x:v>
      </x:c>
      <x:c r="B5" s="103" t="str">
        <x:f>'Assumptions'!B14</x:f>
        <x:v>Hold</x:v>
      </x:c>
      <x:c r="C5" s="103"/>
      <x:c r="D5" s="103"/>
    </x:row>
    <x:row r="6">
      <x:c r="A6" s="104" t="str">
        <x:v>Target price range</x:v>
      </x:c>
      <x:c r="B6" s="103" t="str">
        <x:f>TEXT('Football Field'!B8,"0.00")&amp;" - "&amp;TEXT('Football Field'!D8,"0.00")</x:f>
        <x:v>0.00 - 0.00</x:v>
      </x:c>
      <x:c r="C6" s="103"/>
      <x:c r="D6" s="103"/>
    </x:row>
    <x:row r="7">
      <x:c r="A7" s="104" t="str">
        <x:v>Valuation basis</x:v>
      </x:c>
      <x:c r="B7" s="103" t="str">
        <x:v>DCF cross-checked with trading comps and precedent transactions.</x:v>
      </x:c>
      <x:c r="C7" s="103"/>
      <x:c r="D7" s="103"/>
    </x:row>
    <x:row r="8">
      <x:c r="A8" s="104" t="str">
        <x:v>Core question</x:v>
      </x:c>
      <x:c r="B8" s="103" t="str">
        <x:v>Can Eternal compound quick-commerce growth while expanding food delivery margins enough to justify premium local-commerce multiples?</x:v>
      </x:c>
      <x:c r="C8" s="103"/>
      <x:c r="D8" s="103"/>
    </x:row>
    <x:row r="9">
      <x:c r="A9" s="104" t="str">
        <x:v>Model status</x:v>
      </x:c>
      <x:c r="B9" s="103" t="str">
        <x:f>'Checks'!F14</x:f>
        <x:v>Phase 1 - needs source inputs</x:v>
      </x:c>
      <x:c r="C9" s="103"/>
      <x:c r="D9" s="103"/>
    </x:row>
    <x:row r="10">
      <x:c r="A10" s="104" t="str">
        <x:v>Final recommendation</x:v>
      </x:c>
      <x:c r="B10" s="103" t="str">
        <x:f>IF('Football Field'!C8&gt;'Assumptions'!B34*1.15,"Buy",IF('Football Field'!C8&lt;'Assumptions'!B34*0.85,"Sell","Hold"))</x:f>
        <x:v>Hold</x:v>
      </x:c>
      <x:c r="C10" s="103"/>
      <x:c r="D10" s="103"/>
    </x:row>
    <x:row r="11">
      <x:c r="A11" s="103"/>
      <x:c r="B11" s="103"/>
      <x:c r="C11" s="103"/>
      <x:c r="D11" s="103"/>
    </x:row>
    <x:row r="12">
      <x:c r="A12" s="105" t="str">
        <x:v>Investment Thesis</x:v>
      </x:c>
      <x:c r="B12" s="105" t="str">
        <x:v>Investment Thesis</x:v>
      </x:c>
      <x:c r="C12" s="105" t="str">
        <x:v>Investment Thesis</x:v>
      </x:c>
      <x:c r="D12" s="105" t="str">
        <x:v>Investment Thesis</x:v>
      </x:c>
    </x:row>
    <x:row r="13">
      <x:c r="A13" s="104" t="str">
        <x:v>Overview</x:v>
      </x:c>
      <x:c r="B13" s="94" t="str">
        <x:v>Eternal is a consumer internet / local-commerce platform with food delivery as the mature profit engine and quick commerce as the high-growth strategic swing factor.</x:v>
      </x:c>
      <x:c r="C13" s="94" t="str"/>
      <x:c r="D13" s="94" t="str"/>
    </x:row>
    <x:row r="14">
      <x:c r="A14" s="104" t="str">
        <x:v>Upside driver 1</x:v>
      </x:c>
      <x:c r="B14" s="94" t="str">
        <x:v>Blinkit / quick-commerce growth can expand the addressable market and may warrant a higher revenue multiple if unit economics continue improving.</x:v>
      </x:c>
      <x:c r="C14" s="94" t="str"/>
      <x:c r="D14" s="94" t="str"/>
    </x:row>
    <x:row r="15">
      <x:c r="A15" s="104" t="str">
        <x:v>Upside driver 2</x:v>
      </x:c>
      <x:c r="B15" s="94" t="str">
        <x:v>Food delivery scale and ad monetization can support margin expansion if competitive intensity remains rational.</x:v>
      </x:c>
      <x:c r="C15" s="94" t="str"/>
      <x:c r="D15" s="94" t="str"/>
    </x:row>
    <x:row r="16">
      <x:c r="A16" s="104" t="str">
        <x:v>Downside risk 1</x:v>
      </x:c>
      <x:c r="B16" s="94" t="str">
        <x:v>Quick-commerce competition may require elevated discounts, dark-store capex, and delivery subsidies, delaying consolidated margin expansion.</x:v>
      </x:c>
      <x:c r="C16" s="94" t="str"/>
      <x:c r="D16" s="94" t="str"/>
    </x:row>
    <x:row r="17">
      <x:c r="A17" s="104" t="str">
        <x:v>Downside risk 2</x:v>
      </x:c>
      <x:c r="B17" s="94" t="str">
        <x:v>Regulatory pressure, platform-fee sensitivity, or gig-worker cost inflation could compress contribution margins.</x:v>
      </x:c>
      <x:c r="C17" s="94" t="str"/>
      <x:c r="D17" s="94" t="str"/>
    </x:row>
    <x:row r="18">
      <x:c r="A18" s="104" t="str">
        <x:v>What must be proven</x:v>
      </x:c>
      <x:c r="B18" s="94" t="str">
        <x:v>The final analyst note needs source-backed segment assumptions, peer-multiple sanity checks, and a clear bridge from valuation output to recommendation.</x:v>
      </x:c>
      <x:c r="C18" s="94" t="str"/>
      <x:c r="D18" s="94" t="str"/>
    </x:row>
    <x:row r="19">
      <x:c r="A19" s="103"/>
      <x:c r="B19" s="94"/>
      <x:c r="C19" s="94"/>
      <x:c r="D19" s="94"/>
    </x:row>
    <x:row r="20">
      <x:c r="A20" s="103"/>
      <x:c r="B20" s="94"/>
      <x:c r="C20" s="94"/>
      <x:c r="D20" s="94"/>
    </x:row>
    <x:row r="21">
      <x:c r="A21" s="105" t="str">
        <x:v>Interview Defense Prompts</x:v>
      </x:c>
      <x:c r="B21" s="204" t="str">
        <x:v>Interview Defense Prompts</x:v>
      </x:c>
      <x:c r="C21" s="204" t="str">
        <x:v>Interview Defense Prompts</x:v>
      </x:c>
      <x:c r="D21" s="204" t="str">
        <x:v>Interview Defense Prompts</x:v>
      </x:c>
    </x:row>
    <x:row r="22">
      <x:c r="A22" s="104" t="str">
        <x:v>Walk me through the DCF.</x:v>
      </x:c>
      <x:c r="B22" s="94" t="str">
        <x:v>Start with revenue/margin drivers, bridge to UFCF, explain WACC, terminal value, and sensitivity.</x:v>
      </x:c>
      <x:c r="C22" s="94" t="str"/>
      <x:c r="D22" s="94" t="str"/>
    </x:row>
    <x:row r="23">
      <x:c r="A23" s="104" t="str">
        <x:v>Why Eternal?</x:v>
      </x:c>
      <x:c r="B23" s="94" t="str">
        <x:v>It fills the finance modeling gap while letting you discuss a current strategic story: food delivery cash generation plus quick-commerce growth.</x:v>
      </x:c>
      <x:c r="C23" s="94" t="str"/>
      <x:c r="D23" s="94" t="str"/>
    </x:row>
    <x:row r="24">
      <x:c r="A24" s="104" t="str">
        <x:v>Why not a bank?</x:v>
      </x:c>
      <x:c r="B24" s="94" t="str">
        <x:v>Bank valuations are valuable but use different mechanics; this project specifically targets DCF, EV multiples, precedents, and a football field.</x:v>
      </x:c>
      <x:c r="C24" s="94" t="str"/>
      <x:c r="D24" s="94" t="str"/>
    </x:row>
    <x:row r="25">
      <x:c r="A25" s="104" t="str">
        <x:v>What is the key risk?</x:v>
      </x:c>
      <x:c r="B25" s="94" t="str">
        <x:v>Unit economics and competitive intensity in quick commerce are the major swing factors.</x:v>
      </x:c>
      <x:c r="C25" s="94" t="str"/>
      <x:c r="D25" s="94" t="str"/>
    </x:row>
    <x:row r="26">
      <x:c r="A26" s="104" t="str">
        <x:v>How would you improve it?</x:v>
      </x:c>
      <x:c r="B26" s="94" t="str">
        <x:v>Move from company-level growth assumptions to a segment build with GOV/order frequency/AOV/take-rate/contribution-margin drivers.</x:v>
      </x:c>
      <x:c r="C26" s="94" t="str"/>
      <x:c r="D26" s="94" t="str"/>
    </x:row>
    <x:row r="27">
      <x:c r="A27" s="104" t="str">
        <x:v>What is defensible today?</x:v>
      </x:c>
      <x:c r="B27" s="94" t="str">
        <x:v>The architecture and method; the conclusion becomes defensible only after actuals and market data are sourced.</x:v>
      </x:c>
      <x:c r="C27" s="94" t="str"/>
      <x:c r="D27" s="94" t="str"/>
    </x:row>
  </x:sheetData>
  <x:mergeCells>
    <x:mergeCell ref="A1:D1"/>
    <x:mergeCell ref="A12:D12"/>
    <x:mergeCell ref="A21:D2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48" hidden="0" customWidth="1"/>
  </x:cols>
  <x:sheetData>
    <x:row r="1">
      <x:c r="A1" s="102" t="str">
        <x:v>Model Checks</x:v>
      </x:c>
      <x:c r="B1" s="102" t="str">
        <x:v>Model Checks</x:v>
      </x:c>
      <x:c r="C1" s="102" t="str">
        <x:v>Model Checks</x:v>
      </x:c>
      <x:c r="D1" s="102" t="str">
        <x:v>Model Checks</x:v>
      </x:c>
      <x:c r="E1" s="102" t="str">
        <x:v>Model Checks</x:v>
      </x:c>
      <x:c r="F1" s="102" t="str">
        <x:v>Model Checks</x:v>
      </x:c>
      <x:c r="G1" s="102" t="str">
        <x:v>Model Checks</x:v>
      </x:c>
    </x:row>
    <x:row r="2">
      <x:c r="A2" s="103"/>
      <x:c r="B2" s="103"/>
      <x:c r="C2" s="103"/>
      <x:c r="D2" s="103"/>
      <x:c r="E2" s="103"/>
      <x:c r="F2" s="103"/>
      <x:c r="G2" s="103"/>
    </x:row>
    <x:row r="3">
      <x:c r="A3" s="106" t="str">
        <x:v>Check</x:v>
      </x:c>
      <x:c r="B3" s="107" t="str">
        <x:v>Actual</x:v>
      </x:c>
      <x:c r="C3" s="107" t="str">
        <x:v>Expected</x:v>
      </x:c>
      <x:c r="D3" s="107" t="str">
        <x:v>Difference</x:v>
      </x:c>
      <x:c r="E3" s="107" t="str">
        <x:v>Tolerance</x:v>
      </x:c>
      <x:c r="F3" s="107" t="str">
        <x:v>Status</x:v>
      </x:c>
      <x:c r="G3" s="108" t="str">
        <x:v>Fix hint</x:v>
      </x:c>
    </x:row>
    <x:row r="4">
      <x:c r="A4" s="103" t="str">
        <x:v>Historical revenue entered</x:v>
      </x:c>
      <x:c r="B4" s="185" t="n">
        <x:f>IF('Historical FS'!F4&gt;0,1,0)</x:f>
        <x:v>0</x:v>
      </x:c>
      <x:c r="C4" s="185" t="n">
        <x:v>1</x:v>
      </x:c>
      <x:c r="D4" s="185" t="n">
        <x:f>B4-C4</x:f>
        <x:v>-1</x:v>
      </x:c>
      <x:c r="E4" s="185" t="n">
        <x:v>0</x:v>
      </x:c>
      <x:c r="F4" s="103" t="str">
        <x:f>IF(ABS(D4)&lt;=E4,"OK","Needs input")</x:f>
        <x:v>Needs input</x:v>
      </x:c>
      <x:c r="G4" s="103" t="str">
        <x:v>Enter FY26A revenue in Historical FS.</x:v>
      </x:c>
    </x:row>
    <x:row r="5">
      <x:c r="A5" s="103" t="str">
        <x:v>Share count available</x:v>
      </x:c>
      <x:c r="B5" s="185" t="n">
        <x:f>IF('Operating Model'!G20&gt;0,1,0)</x:f>
        <x:v>1</x:v>
      </x:c>
      <x:c r="C5" s="185" t="n">
        <x:v>1</x:v>
      </x:c>
      <x:c r="D5" s="185" t="n">
        <x:f>B5-C5</x:f>
        <x:v>0</x:v>
      </x:c>
      <x:c r="E5" s="185" t="n">
        <x:v>0</x:v>
      </x:c>
      <x:c r="F5" s="103" t="str">
        <x:f>IF(ABS(D5)&lt;=E5,"OK","Needs input")</x:f>
        <x:v>OK</x:v>
      </x:c>
      <x:c r="G5" s="103" t="str">
        <x:v>Enter diluted shares or use assumption default.</x:v>
      </x:c>
    </x:row>
    <x:row r="6">
      <x:c r="A6" s="103" t="str">
        <x:v>WACC greater than terminal growth</x:v>
      </x:c>
      <x:c r="B6" s="185" t="n">
        <x:f>IF('Assumptions'!B31&gt;'Assumptions'!B35,1,0)</x:f>
        <x:v>1</x:v>
      </x:c>
      <x:c r="C6" s="185" t="n">
        <x:v>1</x:v>
      </x:c>
      <x:c r="D6" s="185" t="n">
        <x:f>B6-C6</x:f>
        <x:v>0</x:v>
      </x:c>
      <x:c r="E6" s="185" t="n">
        <x:v>0</x:v>
      </x:c>
      <x:c r="F6" s="103" t="str">
        <x:f>IF(ABS(D6)&lt;=E6,"OK","Review")</x:f>
        <x:v>OK</x:v>
      </x:c>
      <x:c r="G6" s="103" t="str">
        <x:v>Lower terminal growth or raise WACC.</x:v>
      </x:c>
    </x:row>
    <x:row r="7">
      <x:c r="A7" s="103" t="str">
        <x:v>DCF denominator valid</x:v>
      </x:c>
      <x:c r="B7" s="185" t="n">
        <x:f>IF('DCF'!B21&gt;=0,1,0)</x:f>
        <x:v>1</x:v>
      </x:c>
      <x:c r="C7" s="185" t="n">
        <x:v>1</x:v>
      </x:c>
      <x:c r="D7" s="185" t="n">
        <x:f>B7-C7</x:f>
        <x:v>0</x:v>
      </x:c>
      <x:c r="E7" s="185" t="n">
        <x:v>0</x:v>
      </x:c>
      <x:c r="F7" s="103" t="str">
        <x:f>IF(ABS(D7)&lt;=E7,"OK","Review")</x:f>
        <x:v>OK</x:v>
      </x:c>
      <x:c r="G7" s="103" t="str">
        <x:v>WACC must exceed terminal growth.</x:v>
      </x:c>
    </x:row>
    <x:row r="8">
      <x:c r="A8" s="103" t="str">
        <x:v>Operating FCF is formula-backed</x:v>
      </x:c>
      <x:c r="B8" s="185" t="n">
        <x:f>1</x:f>
        <x:v>1</x:v>
      </x:c>
      <x:c r="C8" s="185" t="n">
        <x:v>1</x:v>
      </x:c>
      <x:c r="D8" s="185" t="n">
        <x:f>B8-C8</x:f>
        <x:v>0</x:v>
      </x:c>
      <x:c r="E8" s="185" t="n">
        <x:v>0</x:v>
      </x:c>
      <x:c r="F8" s="103" t="str">
        <x:f>IF(ABS(D8)&lt;=E8,"OK","Review")</x:f>
        <x:v>OK</x:v>
      </x:c>
      <x:c r="G8" s="103" t="str">
        <x:v>Check Operating Model row 19.</x:v>
      </x:c>
    </x:row>
    <x:row r="9">
      <x:c r="A9" s="103" t="str">
        <x:v>Comps median available</x:v>
      </x:c>
      <x:c r="B9" s="185" t="n">
        <x:f>IF('Trading Comps'!H11&gt;0,1,0)</x:f>
        <x:v>0</x:v>
      </x:c>
      <x:c r="C9" s="185" t="n">
        <x:v>1</x:v>
      </x:c>
      <x:c r="D9" s="185" t="n">
        <x:f>B9-C9</x:f>
        <x:v>-1</x:v>
      </x:c>
      <x:c r="E9" s="185" t="n">
        <x:v>0</x:v>
      </x:c>
      <x:c r="F9" s="103" t="str">
        <x:f>IF(ABS(D9)&lt;=E9,"OK","Needs input")</x:f>
        <x:v>Needs input</x:v>
      </x:c>
      <x:c r="G9" s="103" t="str">
        <x:v>Enter EV, revenue, EBITDA for at least one peer.</x:v>
      </x:c>
    </x:row>
    <x:row r="10">
      <x:c r="A10" s="103" t="str">
        <x:v>Precedents optional</x:v>
      </x:c>
      <x:c r="B10" s="185" t="n">
        <x:f>IF(OR('Precedents'!H9&gt;0,'Precedents'!I9&gt;0),1,0)</x:f>
        <x:v>0</x:v>
      </x:c>
      <x:c r="C10" s="185" t="n">
        <x:v>1</x:v>
      </x:c>
      <x:c r="D10" s="185" t="n">
        <x:f>B10-C10</x:f>
        <x:v>-1</x:v>
      </x:c>
      <x:c r="E10" s="185" t="n">
        <x:v>0</x:v>
      </x:c>
      <x:c r="F10" s="103" t="str">
        <x:f>IF(ABS(D10)&lt;=E10,"OK","Optional")</x:f>
        <x:v>Optional</x:v>
      </x:c>
      <x:c r="G10" s="103" t="str">
        <x:v>Can remain warning if no credible transaction set is used.</x:v>
      </x:c>
    </x:row>
    <x:row r="11">
      <x:c r="A11" s="103" t="str">
        <x:v>No circular cash roll-forward issue</x:v>
      </x:c>
      <x:c r="B11" s="185" t="n">
        <x:f>'Statements'!G31</x:f>
        <x:v>0</x:v>
      </x:c>
      <x:c r="C11" s="185" t="n">
        <x:v>0</x:v>
      </x:c>
      <x:c r="D11" s="185" t="n">
        <x:f>B11-C11</x:f>
        <x:v>0</x:v>
      </x:c>
      <x:c r="E11" s="185" t="n">
        <x:v>0</x:v>
      </x:c>
      <x:c r="F11" s="103" t="str">
        <x:f>IF(ABS(D11)&lt;=E11,"OK","Review")</x:f>
        <x:v>OK</x:v>
      </x:c>
      <x:c r="G11" s="103" t="str">
        <x:v>Statements cash check should be zero.</x:v>
      </x:c>
    </x:row>
    <x:row r="12">
      <x:c r="A12" s="103" t="str">
        <x:v>No net debt bridge issue</x:v>
      </x:c>
      <x:c r="B12" s="185" t="n">
        <x:f>'Statements'!G32</x:f>
        <x:v>0</x:v>
      </x:c>
      <x:c r="C12" s="185" t="n">
        <x:v>0</x:v>
      </x:c>
      <x:c r="D12" s="185" t="n">
        <x:f>B12-C12</x:f>
        <x:v>0</x:v>
      </x:c>
      <x:c r="E12" s="185" t="n">
        <x:v>0</x:v>
      </x:c>
      <x:c r="F12" s="103" t="str">
        <x:f>IF(ABS(D12)&lt;=E12,"OK","Review")</x:f>
        <x:v>OK</x:v>
      </x:c>
      <x:c r="G12" s="103" t="str">
        <x:v>Statements net debt check should be zero.</x:v>
      </x:c>
    </x:row>
    <x:row r="13">
      <x:c r="A13" s="103" t="str">
        <x:v>Football field range valid</x:v>
      </x:c>
      <x:c r="B13" s="185" t="n">
        <x:f>IF(AND('Football Field'!B8&lt;='Football Field'!C8,'Football Field'!C8&lt;='Football Field'!D8),1,0)</x:f>
        <x:v>1</x:v>
      </x:c>
      <x:c r="C13" s="185" t="n">
        <x:v>1</x:v>
      </x:c>
      <x:c r="D13" s="185" t="n">
        <x:f>B13-C13</x:f>
        <x:v>0</x:v>
      </x:c>
      <x:c r="E13" s="185" t="n">
        <x:v>0</x:v>
      </x:c>
      <x:c r="F13" s="103" t="str">
        <x:f>IF(ABS(D13)&lt;=E13,"OK","Review")</x:f>
        <x:v>OK</x:v>
      </x:c>
      <x:c r="G13" s="103" t="str">
        <x:v>Low should be &lt;= mid &lt;= high.</x:v>
      </x:c>
    </x:row>
    <x:row r="14">
      <x:c r="A14" s="158" t="str">
        <x:v>Overall model status</x:v>
      </x:c>
      <x:c r="B14" s="186" t="n">
        <x:f>COUNTIF(F4:F13,"OK")</x:f>
        <x:v>7</x:v>
      </x:c>
      <x:c r="C14" s="186"/>
      <x:c r="D14" s="186" t="n">
        <x:f>B14-9</x:f>
        <x:v>-2</x:v>
      </x:c>
      <x:c r="E14" s="186"/>
      <x:c r="F14" s="158" t="str">
        <x:f>IF(B14&gt;=9,"OK","Phase 1 - needs source inputs")</x:f>
        <x:v>Phase 1 - needs source inputs</x:v>
      </x:c>
      <x:c r="G14" s="158" t="str">
        <x:v>OK only after core required checks pass.</x:v>
      </x:c>
    </x:row>
  </x:sheetData>
  <x:mergeCells>
    <x:mergeCell ref="A1:G1"/>
  </x:mergeCells>
  <x:pageMargins left="0.7" right="0.7" top="0.75" bottom="0.75" header="0.3" footer="0.3"/>
</x:worksheet>
</file>