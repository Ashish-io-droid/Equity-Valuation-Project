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ey Operational Metrics" sheetId="2" state="visible" r:id="rId2"/>
    <sheet xmlns:r="http://schemas.openxmlformats.org/officeDocument/2006/relationships" name="Segment Financials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 Statement" sheetId="6" state="visible" r:id="rId6"/>
    <sheet xmlns:r="http://schemas.openxmlformats.org/officeDocument/2006/relationships" name="Other Expenses Detail" sheetId="7" state="visible" r:id="rId7"/>
    <sheet xmlns:r="http://schemas.openxmlformats.org/officeDocument/2006/relationships" name="Food Delivery Metric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33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22B49"/>
      <sz val="20"/>
    </font>
    <font>
      <name val="Cambria"/>
      <charset val="1"/>
      <family val="0"/>
      <color rgb="FF666666"/>
      <sz val="12"/>
    </font>
    <font>
      <name val="Cambria"/>
      <charset val="1"/>
      <family val="0"/>
      <i val="1"/>
      <color rgb="FF888888"/>
      <sz val="10"/>
    </font>
    <font>
      <name val="Cambria"/>
      <charset val="1"/>
      <family val="0"/>
      <b val="1"/>
      <color rgb="FF122B49"/>
      <sz val="14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color rgb="FF000000"/>
      <sz val="10"/>
    </font>
    <font>
      <name val="Cambria"/>
      <charset val="1"/>
      <family val="0"/>
      <b val="1"/>
      <color rgb="FF000000"/>
      <sz val="10"/>
    </font>
    <font>
      <name val="Cambria"/>
      <charset val="1"/>
      <family val="0"/>
      <b val="1"/>
      <color rgb="FF122B49"/>
      <sz val="10"/>
    </font>
    <font>
      <name val="Cambria"/>
      <charset val="1"/>
      <family val="0"/>
      <i val="1"/>
      <color rgb="FF888888"/>
      <sz val="9"/>
    </font>
    <font>
      <name val="Cambria"/>
      <charset val="1"/>
      <family val="0"/>
      <b val="1"/>
      <color rgb="FF122B49"/>
      <sz val="16"/>
    </font>
    <font>
      <name val="Cambria"/>
      <charset val="1"/>
      <family val="0"/>
      <i val="1"/>
      <color rgb="FF66666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66CC"/>
      <sz val="10"/>
    </font>
    <font>
      <name val="Cambria"/>
      <charset val="1"/>
      <family val="0"/>
      <b val="1"/>
      <color rgb="FF0066CC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mbria"/>
      <charset val="1"/>
      <family val="0"/>
      <b val="1"/>
      <color rgb="FF122B49"/>
      <sz val="11"/>
    </font>
    <font>
      <name val="Cambria"/>
      <charset val="1"/>
      <family val="0"/>
      <i val="1"/>
      <color rgb="FF444444"/>
      <sz val="10"/>
    </font>
    <font>
      <name val="Cambria"/>
      <charset val="1"/>
      <family val="0"/>
      <color rgb="FF444444"/>
      <sz val="10"/>
    </font>
    <font>
      <b val="1"/>
      <color rgb="00122B49"/>
      <sz val="16"/>
    </font>
    <font>
      <i val="1"/>
      <color rgb="00666666"/>
      <sz val="10"/>
    </font>
    <font>
      <b val="1"/>
      <color rgb="00FFFFFF"/>
      <sz val="10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color rgb="000066CC"/>
      <sz val="10"/>
    </font>
    <font>
      <color rgb="00888888"/>
      <sz val="10"/>
    </font>
    <font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FF122B49"/>
        <bgColor rgb="FF1A3A5C"/>
      </patternFill>
    </fill>
    <fill>
      <patternFill patternType="solid">
        <fgColor rgb="FFF9F9F9"/>
        <bgColor rgb="FFF5F5F5"/>
      </patternFill>
    </fill>
    <fill>
      <patternFill patternType="solid">
        <fgColor rgb="FF1A3A5C"/>
        <bgColor rgb="FF122B49"/>
      </patternFill>
    </fill>
    <fill>
      <patternFill patternType="solid">
        <fgColor rgb="FFF5F5F5"/>
        <bgColor rgb="FFF9F9F9"/>
      </patternFill>
    </fill>
    <fill>
      <patternFill patternType="solid">
        <fgColor rgb="00122B49"/>
        <bgColor rgb="00122B49"/>
      </patternFill>
    </fill>
    <fill>
      <patternFill patternType="solid">
        <fgColor rgb="001A3A5C"/>
        <bgColor rgb="001A3A5C"/>
      </patternFill>
    </fill>
    <fill>
      <patternFill patternType="solid">
        <fgColor rgb="00F5F5F5"/>
        <bgColor rgb="00F5F5F5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22B49"/>
      </bottom>
      <diagonal/>
    </border>
    <border>
      <left/>
      <right/>
      <top style="thin">
        <color rgb="FFD0D0D0"/>
      </top>
      <bottom style="double"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medium"/>
      <bottom style="double"/>
      <diagonal/>
    </border>
    <border>
      <left/>
      <right/>
      <top style="thin"/>
      <bottom style="double"/>
      <diagonal/>
    </border>
    <border>
      <bottom style="medium">
        <color rgb="00122B4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3" fontId="10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2"/>
    </xf>
    <xf numFmtId="0" fontId="10" fillId="0" borderId="4" applyAlignment="1" pivotButton="0" quotePrefix="0" xfId="0">
      <alignment horizontal="left" vertical="center"/>
    </xf>
    <xf numFmtId="3" fontId="10" fillId="0" borderId="4" applyAlignment="1" pivotButton="0" quotePrefix="0" xfId="0">
      <alignment horizontal="center" vertical="center"/>
    </xf>
    <xf numFmtId="0" fontId="21" fillId="0" borderId="5" applyAlignment="1" pivotButton="0" quotePrefix="0" xfId="0">
      <alignment horizontal="left" vertical="center"/>
    </xf>
    <xf numFmtId="3" fontId="21" fillId="0" borderId="5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2"/>
    </xf>
    <xf numFmtId="0" fontId="23" fillId="0" borderId="0" applyAlignment="1" pivotButton="0" quotePrefix="0" xfId="0">
      <alignment horizontal="left" vertical="center" indent="4"/>
    </xf>
    <xf numFmtId="3" fontId="23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 indent="2"/>
    </xf>
    <xf numFmtId="0" fontId="11" fillId="0" borderId="3" applyAlignment="1" pivotButton="0" quotePrefix="0" xfId="0">
      <alignment horizontal="left" vertical="center"/>
    </xf>
    <xf numFmtId="3" fontId="11" fillId="0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9" fillId="5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/>
    </xf>
    <xf numFmtId="3" fontId="10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1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3" fontId="10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2"/>
    </xf>
    <xf numFmtId="0" fontId="10" fillId="0" borderId="4" applyAlignment="1" pivotButton="0" quotePrefix="0" xfId="0">
      <alignment horizontal="left" vertical="center"/>
    </xf>
    <xf numFmtId="3" fontId="10" fillId="0" borderId="4" applyAlignment="1" pivotButton="0" quotePrefix="0" xfId="0">
      <alignment horizontal="center" vertical="center"/>
    </xf>
    <xf numFmtId="0" fontId="21" fillId="0" borderId="5" applyAlignment="1" pivotButton="0" quotePrefix="0" xfId="0">
      <alignment horizontal="left" vertical="center"/>
    </xf>
    <xf numFmtId="3" fontId="21" fillId="0" borderId="5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2"/>
    </xf>
    <xf numFmtId="0" fontId="23" fillId="0" borderId="0" applyAlignment="1" pivotButton="0" quotePrefix="0" xfId="0">
      <alignment horizontal="left" vertical="center" indent="4"/>
    </xf>
    <xf numFmtId="3" fontId="23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 indent="2"/>
    </xf>
    <xf numFmtId="0" fontId="11" fillId="0" borderId="3" applyAlignment="1" pivotButton="0" quotePrefix="0" xfId="0">
      <alignment horizontal="left" vertical="center"/>
    </xf>
    <xf numFmtId="3" fontId="11" fillId="0" borderId="3" applyAlignment="1" pivotButton="0" quotePrefix="0" xfId="0">
      <alignment horizontal="center" vertical="center"/>
    </xf>
    <xf numFmtId="3" fontId="9" fillId="5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/>
    </xf>
    <xf numFmtId="3" fontId="10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pivotButton="0" quotePrefix="0" xfId="0"/>
    <xf numFmtId="0" fontId="0" fillId="0" borderId="7" pivotButton="0" quotePrefix="0" xfId="0"/>
    <xf numFmtId="0" fontId="26" fillId="6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center" vertical="center"/>
    </xf>
    <xf numFmtId="0" fontId="2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left" vertical="center"/>
    </xf>
    <xf numFmtId="0" fontId="29" fillId="8" borderId="0" applyAlignment="1" pivotButton="0" quotePrefix="0" xfId="0">
      <alignment horizontal="center" vertical="center"/>
    </xf>
    <xf numFmtId="0" fontId="30" fillId="8" borderId="0" applyAlignment="1" pivotButton="0" quotePrefix="0" xfId="0">
      <alignment horizontal="center" vertical="center"/>
    </xf>
    <xf numFmtId="0" fontId="30" fillId="0" borderId="0" pivotButton="0" quotePrefix="0" xfId="0"/>
    <xf numFmtId="0" fontId="31" fillId="8" borderId="0" applyAlignment="1" pivotButton="0" quotePrefix="0" xfId="0">
      <alignment horizontal="center" vertical="center"/>
    </xf>
    <xf numFmtId="164" fontId="29" fillId="8" borderId="0" applyAlignment="1" pivotButton="0" quotePrefix="0" xfId="0">
      <alignment horizontal="center" vertical="center"/>
    </xf>
    <xf numFmtId="0" fontId="32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F5F5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888888"/>
      <rgbColor rgb="FF122B49"/>
      <rgbColor rgb="FF339966"/>
      <rgbColor rgb="FF003300"/>
      <rgbColor rgb="FF333300"/>
      <rgbColor rgb="FF993300"/>
      <rgbColor rgb="FF993366"/>
      <rgbColor rgb="FF1A3A5C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Adjusted Revenue by Segment (INR Billion)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'Segment Financials'!C7</f>
              <strCache>
                <ptCount val="1"/>
                <pt idx="0">
                  <v>FY21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'Segment Financials'!$B$8:$B$11</f>
              <strCache>
                <ptCount val="4"/>
                <pt idx="0">
                  <v>Food Delivery</v>
                </pt>
                <pt idx="1">
                  <v>Hyperpure (B2B Supplies)</v>
                </pt>
                <pt idx="2">
                  <v>Quick Commerce (Blinkit)</v>
                </pt>
                <pt idx="3">
                  <v>Others</v>
                </pt>
              </strCache>
            </strRef>
          </cat>
          <val>
            <numRef>
              <f>'Segment Financials'!$C$8:$C$11</f>
              <numCache>
                <formatCode>General</formatCode>
                <ptCount val="4"/>
                <pt idx="0">
                  <v>21.6</v>
                </pt>
                <pt idx="1">
                  <v>2</v>
                </pt>
                <pt idx="3">
                  <v>2.8</v>
                </pt>
              </numCache>
            </numRef>
          </val>
        </ser>
        <ser>
          <idx val="1"/>
          <order val="1"/>
          <tx>
            <strRef>
              <f>'Segment Financials'!D7</f>
              <strCache>
                <ptCount val="1"/>
                <pt idx="0">
                  <v>FY22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'Segment Financials'!$B$8:$B$11</f>
              <strCache>
                <ptCount val="4"/>
                <pt idx="0">
                  <v>Food Delivery</v>
                </pt>
                <pt idx="1">
                  <v>Hyperpure (B2B Supplies)</v>
                </pt>
                <pt idx="2">
                  <v>Quick Commerce (Blinkit)</v>
                </pt>
                <pt idx="3">
                  <v>Others</v>
                </pt>
              </strCache>
            </strRef>
          </cat>
          <val>
            <numRef>
              <f>'Segment Financials'!$D$8:$D$11</f>
              <numCache>
                <formatCode>General</formatCode>
                <ptCount val="4"/>
                <pt idx="0">
                  <v>47.6</v>
                </pt>
                <pt idx="1">
                  <v>5.4</v>
                </pt>
                <pt idx="3">
                  <v>2.4</v>
                </pt>
              </numCache>
            </numRef>
          </val>
        </ser>
        <ser>
          <idx val="2"/>
          <order val="2"/>
          <tx>
            <strRef>
              <f>'Segment Financials'!E7</f>
              <strCache>
                <ptCount val="1"/>
                <pt idx="0">
                  <v>FY23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'Segment Financials'!$B$8:$B$11</f>
              <strCache>
                <ptCount val="4"/>
                <pt idx="0">
                  <v>Food Delivery</v>
                </pt>
                <pt idx="1">
                  <v>Hyperpure (B2B Supplies)</v>
                </pt>
                <pt idx="2">
                  <v>Quick Commerce (Blinkit)</v>
                </pt>
                <pt idx="3">
                  <v>Others</v>
                </pt>
              </strCache>
            </strRef>
          </cat>
          <val>
            <numRef>
              <f>'Segment Financials'!$E$8:$E$11</f>
              <numCache>
                <formatCode>General</formatCode>
                <ptCount val="4"/>
                <pt idx="0">
                  <v>61.5</v>
                </pt>
                <pt idx="1">
                  <v>15.1</v>
                </pt>
                <pt idx="2">
                  <v>8.1</v>
                </pt>
                <pt idx="3">
                  <v>2.3</v>
                </pt>
              </numCache>
            </numRef>
          </val>
        </ser>
        <gapWidth val="150"/>
        <overlap val="0"/>
        <axId val="48370611"/>
        <axId val="29978615"/>
      </barChart>
      <catAx>
        <axId val="4837061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9978615"/>
        <crosses val="autoZero"/>
        <auto val="1"/>
        <lblAlgn val="ctr"/>
        <lblOffset val="100"/>
        <noMultiLvlLbl val="0"/>
      </catAx>
      <valAx>
        <axId val="2997861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INR Billion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83706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Adjusted EBITDA by Segment (INR Billion)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'Segment Financials'!C16</f>
              <strCache>
                <ptCount val="1"/>
                <pt idx="0">
                  <v>FY21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'Segment Financials'!$B$17:$B$20</f>
              <strCache>
                <ptCount val="4"/>
                <pt idx="0">
                  <v>Food Delivery</v>
                </pt>
                <pt idx="1">
                  <v>Hyperpure (B2B Supplies)</v>
                </pt>
                <pt idx="2">
                  <v>Quick Commerce (Blinkit)</v>
                </pt>
                <pt idx="3">
                  <v>Others</v>
                </pt>
              </strCache>
            </strRef>
          </cat>
          <val>
            <numRef>
              <f>'Segment Financials'!$C$17:$C$21</f>
              <numCache>
                <formatCode>General</formatCode>
                <ptCount val="5"/>
                <pt idx="0">
                  <v>-1.7</v>
                </pt>
                <pt idx="1">
                  <v>-0.5</v>
                </pt>
                <pt idx="3">
                  <v>-1</v>
                </pt>
                <pt idx="4">
                  <v>-3.2</v>
                </pt>
              </numCache>
            </numRef>
          </val>
        </ser>
        <ser>
          <idx val="1"/>
          <order val="1"/>
          <tx>
            <strRef>
              <f>'Segment Financials'!D16</f>
              <strCache>
                <ptCount val="1"/>
                <pt idx="0">
                  <v>FY22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'Segment Financials'!$B$17:$B$20</f>
              <strCache>
                <ptCount val="4"/>
                <pt idx="0">
                  <v>Food Delivery</v>
                </pt>
                <pt idx="1">
                  <v>Hyperpure (B2B Supplies)</v>
                </pt>
                <pt idx="2">
                  <v>Quick Commerce (Blinkit)</v>
                </pt>
                <pt idx="3">
                  <v>Others</v>
                </pt>
              </strCache>
            </strRef>
          </cat>
          <val>
            <numRef>
              <f>'Segment Financials'!$D$17:$D$21</f>
              <numCache>
                <formatCode>General</formatCode>
                <ptCount val="5"/>
                <pt idx="0">
                  <v>-7.7</v>
                </pt>
                <pt idx="1">
                  <v>-1.4</v>
                </pt>
                <pt idx="3">
                  <v>-0.7</v>
                </pt>
                <pt idx="4">
                  <v>-9.800000000000001</v>
                </pt>
              </numCache>
            </numRef>
          </val>
        </ser>
        <ser>
          <idx val="2"/>
          <order val="2"/>
          <tx>
            <strRef>
              <f>'Segment Financials'!E16</f>
              <strCache>
                <ptCount val="1"/>
                <pt idx="0">
                  <v>FY23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'Segment Financials'!$B$17:$B$20</f>
              <strCache>
                <ptCount val="4"/>
                <pt idx="0">
                  <v>Food Delivery</v>
                </pt>
                <pt idx="1">
                  <v>Hyperpure (B2B Supplies)</v>
                </pt>
                <pt idx="2">
                  <v>Quick Commerce (Blinkit)</v>
                </pt>
                <pt idx="3">
                  <v>Others</v>
                </pt>
              </strCache>
            </strRef>
          </cat>
          <val>
            <numRef>
              <f>'Segment Financials'!$E$17:$E$21</f>
              <numCache>
                <formatCode>General</formatCode>
                <ptCount val="5"/>
                <pt idx="0">
                  <v>-0.1</v>
                </pt>
                <pt idx="1">
                  <v>-1.9</v>
                </pt>
                <pt idx="2">
                  <v>-5.6</v>
                </pt>
                <pt idx="3">
                  <v>-0.2</v>
                </pt>
                <pt idx="4">
                  <v>-7.8</v>
                </pt>
              </numCache>
            </numRef>
          </val>
        </ser>
        <gapWidth val="150"/>
        <overlap val="0"/>
        <axId val="40364000"/>
        <axId val="57833376"/>
      </barChart>
      <catAx>
        <axId val="4036400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7833376"/>
        <crosses val="autoZero"/>
        <auto val="1"/>
        <lblAlgn val="ctr"/>
        <lblOffset val="100"/>
        <noMultiLvlLbl val="0"/>
      </catAx>
      <valAx>
        <axId val="5783337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INR Billion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03640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Other Expenses Breakdown (INR Million)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'Other Expenses Detail'!C6</f>
              <strCache>
                <ptCount val="1"/>
                <pt idx="0">
                  <v>FY2023 (INR Mn)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'Other Expenses Detail'!$B$7:$B$23</f>
              <strCache>
                <ptCount val="17"/>
                <pt idx="0">
                  <v>Advertising and promotional expenses</v>
                </pt>
                <pt idx="1">
                  <v>Payment to delivery partners</v>
                </pt>
                <pt idx="2">
                  <v>Other operating expenses</v>
                </pt>
                <pt idx="3">
                  <v>Rent (including lease payments)</v>
                </pt>
                <pt idx="4">
                  <v>Miscellaneous expenses</v>
                </pt>
                <pt idx="5">
                  <v>Legal and professional fees</v>
                </pt>
                <pt idx="6">
                  <v>Rates and taxes</v>
                </pt>
                <pt idx="7">
                  <v>Travelling and conveyance</v>
                </pt>
                <pt idx="8">
                  <v>Repairs and maintenance</v>
                </pt>
                <pt idx="9">
                  <v>CSR expenditure</v>
                </pt>
                <pt idx="10">
                  <v>Provision for doubtful debts</v>
                </pt>
                <pt idx="11">
                  <v>Power and fuel</v>
                </pt>
                <pt idx="12">
                  <v>Communication expenses</v>
                </pt>
                <pt idx="13">
                  <v>Loss on sale/discard of PPE</v>
                </pt>
                <pt idx="14">
                  <v>Net gain on disposal of investment</v>
                </pt>
                <pt idx="15">
                  <v>Net loss on mutual funds</v>
                </pt>
                <pt idx="16">
                  <v>Directors sitting fees</v>
                </pt>
              </strCache>
            </strRef>
          </cat>
          <val>
            <numRef>
              <f>'Other Expenses Detail'!$C$7:$C$23</f>
              <numCache>
                <formatCode>General</formatCode>
                <ptCount val="17"/>
                <pt idx="0">
                  <v>21945</v>
                </pt>
                <pt idx="1">
                  <v>18839</v>
                </pt>
                <pt idx="2">
                  <v>6397</v>
                </pt>
                <pt idx="3">
                  <v>996</v>
                </pt>
                <pt idx="4">
                  <v>2441</v>
                </pt>
                <pt idx="5">
                  <v>1109</v>
                </pt>
                <pt idx="6">
                  <v>354</v>
                </pt>
                <pt idx="7">
                  <v>389</v>
                </pt>
                <pt idx="8">
                  <v>261</v>
                </pt>
                <pt idx="9">
                  <v>109</v>
                </pt>
                <pt idx="10">
                  <v>304</v>
                </pt>
                <pt idx="11">
                  <v>128</v>
                </pt>
                <pt idx="12">
                  <v>72</v>
                </pt>
                <pt idx="13">
                  <v>0</v>
                </pt>
                <pt idx="14">
                  <v>-1</v>
                </pt>
                <pt idx="15">
                  <v>7</v>
                </pt>
                <pt idx="16">
                  <v>4</v>
                </pt>
              </numCache>
            </numRef>
          </val>
        </ser>
        <ser>
          <idx val="1"/>
          <order val="1"/>
          <tx>
            <strRef>
              <f>'Other Expenses Detail'!D6</f>
              <strCache>
                <ptCount val="1"/>
                <pt idx="0">
                  <v>FY2022 (INR Mn)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'Other Expenses Detail'!$B$7:$B$23</f>
              <strCache>
                <ptCount val="17"/>
                <pt idx="0">
                  <v>Advertising and promotional expenses</v>
                </pt>
                <pt idx="1">
                  <v>Payment to delivery partners</v>
                </pt>
                <pt idx="2">
                  <v>Other operating expenses</v>
                </pt>
                <pt idx="3">
                  <v>Rent (including lease payments)</v>
                </pt>
                <pt idx="4">
                  <v>Miscellaneous expenses</v>
                </pt>
                <pt idx="5">
                  <v>Legal and professional fees</v>
                </pt>
                <pt idx="6">
                  <v>Rates and taxes</v>
                </pt>
                <pt idx="7">
                  <v>Travelling and conveyance</v>
                </pt>
                <pt idx="8">
                  <v>Repairs and maintenance</v>
                </pt>
                <pt idx="9">
                  <v>CSR expenditure</v>
                </pt>
                <pt idx="10">
                  <v>Provision for doubtful debts</v>
                </pt>
                <pt idx="11">
                  <v>Power and fuel</v>
                </pt>
                <pt idx="12">
                  <v>Communication expenses</v>
                </pt>
                <pt idx="13">
                  <v>Loss on sale/discard of PPE</v>
                </pt>
                <pt idx="14">
                  <v>Net gain on disposal of investment</v>
                </pt>
                <pt idx="15">
                  <v>Net loss on mutual funds</v>
                </pt>
                <pt idx="16">
                  <v>Directors sitting fees</v>
                </pt>
              </strCache>
            </strRef>
          </cat>
          <val>
            <numRef>
              <f>'Other Expenses Detail'!$D$7:$D$23</f>
              <numCache>
                <formatCode>General</formatCode>
                <ptCount val="17"/>
                <pt idx="0">
                  <v>15628</v>
                </pt>
                <pt idx="1">
                  <v>13236</v>
                </pt>
                <pt idx="2">
                  <v>5086</v>
                </pt>
                <pt idx="3">
                  <v>517</v>
                </pt>
                <pt idx="4">
                  <v>1820</v>
                </pt>
                <pt idx="5">
                  <v>1456</v>
                </pt>
                <pt idx="6">
                  <v>184</v>
                </pt>
                <pt idx="7">
                  <v>97</v>
                </pt>
                <pt idx="8">
                  <v>104</v>
                </pt>
                <pt idx="9">
                  <v>76</v>
                </pt>
                <pt idx="10">
                  <v>208</v>
                </pt>
                <pt idx="11">
                  <v>60</v>
                </pt>
                <pt idx="12">
                  <v>73</v>
                </pt>
                <pt idx="13">
                  <v>3</v>
                </pt>
                <pt idx="14">
                  <v>-3227</v>
                </pt>
                <pt idx="15">
                  <v>0</v>
                </pt>
                <pt idx="16">
                  <v>4</v>
                </pt>
              </numCache>
            </numRef>
          </val>
        </ser>
        <gapWidth val="150"/>
        <overlap val="0"/>
        <axId val="62688632"/>
        <axId val="37369427"/>
      </barChart>
      <catAx>
        <axId val="62688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7369427"/>
        <crosses val="autoZero"/>
        <auto val="1"/>
        <lblAlgn val="ctr"/>
        <lblOffset val="100"/>
        <noMultiLvlLbl val="0"/>
      </catAx>
      <valAx>
        <axId val="3736942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INR Million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2688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Food Delivery GOV Trend (INR Billion)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'Food Delivery Metrics'!C8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'Food Delivery Metrics'!$B$9</f>
            </numRef>
          </cat>
          <val>
            <numRef>
              <f>'Food Delivery Metrics'!$C$9</f>
            </numRef>
          </val>
        </ser>
        <ser>
          <idx val="1"/>
          <order val="1"/>
          <tx>
            <strRef>
              <f>'Food Delivery Metrics'!D8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'Food Delivery Metrics'!$B$9</f>
            </numRef>
          </cat>
          <val>
            <numRef>
              <f>'Food Delivery Metrics'!$D$9</f>
            </numRef>
          </val>
        </ser>
        <ser>
          <idx val="2"/>
          <order val="2"/>
          <tx>
            <strRef>
              <f>'Food Delivery Metrics'!E8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'Food Delivery Metrics'!$B$9</f>
            </numRef>
          </cat>
          <val>
            <numRef>
              <f>'Food Delivery Metrics'!$E$9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Billion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Food Delivery Margin Trends (% of GOV)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'Food Delivery Metrics'!C44</f>
            </strRef>
          </tx>
          <spPr>
            <a:ln xmlns:a="http://schemas.openxmlformats.org/drawingml/2006/main">
              <a:prstDash val="solid"/>
            </a:ln>
          </spPr>
          <cat>
            <numRef>
              <f>'Food Delivery Metrics'!$B$45:$B$46</f>
            </numRef>
          </cat>
          <val>
            <numRef>
              <f>'Food Delivery Metrics'!$C$45:$C$46</f>
            </numRef>
          </val>
        </ser>
        <ser>
          <idx val="1"/>
          <order val="1"/>
          <tx>
            <strRef>
              <f>'Food Delivery Metrics'!D44</f>
            </strRef>
          </tx>
          <spPr>
            <a:ln xmlns:a="http://schemas.openxmlformats.org/drawingml/2006/main">
              <a:prstDash val="solid"/>
            </a:ln>
          </spPr>
          <cat>
            <numRef>
              <f>'Food Delivery Metrics'!$B$45:$B$46</f>
            </numRef>
          </cat>
          <val>
            <numRef>
              <f>'Food Delivery Metrics'!$D$45:$D$46</f>
            </numRef>
          </val>
        </ser>
        <ser>
          <idx val="2"/>
          <order val="2"/>
          <tx>
            <strRef>
              <f>'Food Delivery Metrics'!E44</f>
            </strRef>
          </tx>
          <spPr>
            <a:ln xmlns:a="http://schemas.openxmlformats.org/drawingml/2006/main">
              <a:prstDash val="solid"/>
            </a:ln>
          </spPr>
          <cat>
            <numRef>
              <f>'Food Delivery Metrics'!$B$45:$B$46</f>
            </numRef>
          </cat>
          <val>
            <numRef>
              <f>'Food Delivery Metrics'!$E$45:$E$46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GOV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26</row>
      <rowOff>0</rowOff>
    </from>
    <to>
      <col>5</col>
      <colOff>627480</colOff>
      <row>44</row>
      <rowOff>168840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0</rowOff>
    </from>
    <to>
      <col>5</col>
      <colOff>627480</colOff>
      <row>61</row>
      <rowOff>168840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28</row>
      <rowOff>0</rowOff>
    </from>
    <to>
      <col>5</col>
      <colOff>362520</colOff>
      <row>50</row>
      <rowOff>128880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1</col>
      <colOff>0</colOff>
      <row>30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25" customWidth="1" style="56" min="2" max="2"/>
    <col width="20" customWidth="1" style="56" min="3" max="6"/>
    <col width="3" customWidth="1" style="56" min="7" max="7"/>
  </cols>
  <sheetData>
    <row r="2" ht="39.75" customHeight="1" s="57">
      <c r="B2" s="58" t="inlineStr">
        <is>
          <t>Zomato Limited - Financial Data Extract</t>
        </is>
      </c>
    </row>
    <row r="3" ht="24.75" customHeight="1" s="57">
      <c r="B3" s="59" t="inlineStr">
        <is>
          <t>Annual Report FY2023 Data Compilation for Equity Valuation Model</t>
        </is>
      </c>
    </row>
    <row r="4" ht="15" customHeight="1" s="57">
      <c r="B4" s="60" t="inlineStr">
        <is>
          <t>Source: Zomato Annual Report 2023 (Published June 2023)</t>
        </is>
      </c>
    </row>
    <row r="5" ht="15" customHeight="1" s="57">
      <c r="B5" s="61" t="n"/>
      <c r="C5" s="61" t="n"/>
      <c r="D5" s="61" t="n"/>
      <c r="E5" s="61" t="n"/>
      <c r="F5" s="61" t="n"/>
    </row>
    <row r="7" ht="27.75" customHeight="1" s="57">
      <c r="B7" s="62" t="inlineStr">
        <is>
          <t>KEY METRICS SUMMARY</t>
        </is>
      </c>
    </row>
    <row r="8" ht="21.75" customHeight="1" s="57">
      <c r="B8" s="63" t="inlineStr">
        <is>
          <t>Metric</t>
        </is>
      </c>
      <c r="C8" s="63" t="inlineStr">
        <is>
          <t>FY21</t>
        </is>
      </c>
      <c r="D8" s="63" t="inlineStr">
        <is>
          <t>FY22</t>
        </is>
      </c>
      <c r="E8" s="63" t="inlineStr">
        <is>
          <t>FY23</t>
        </is>
      </c>
      <c r="F8" s="63" t="inlineStr">
        <is>
          <t>YoY FY23</t>
        </is>
      </c>
    </row>
    <row r="9" ht="15" customHeight="1" s="57">
      <c r="B9" s="64" t="inlineStr">
        <is>
          <t>GOV (INR Bn)</t>
        </is>
      </c>
      <c r="C9" s="65" t="inlineStr">
        <is>
          <t>94.9</t>
        </is>
      </c>
      <c r="D9" s="65" t="inlineStr">
        <is>
          <t>213.0</t>
        </is>
      </c>
      <c r="E9" s="65" t="inlineStr">
        <is>
          <t>263.1</t>
        </is>
      </c>
      <c r="F9" s="65" t="inlineStr">
        <is>
          <t>23.5%</t>
        </is>
      </c>
    </row>
    <row r="10" ht="15" customHeight="1" s="57">
      <c r="B10" s="66" t="inlineStr">
        <is>
          <t>Total Orders (Mn)</t>
        </is>
      </c>
      <c r="C10" s="67" t="inlineStr">
        <is>
          <t>238.9</t>
        </is>
      </c>
      <c r="D10" s="67" t="inlineStr">
        <is>
          <t>535.2</t>
        </is>
      </c>
      <c r="E10" s="67" t="inlineStr">
        <is>
          <t>647.0</t>
        </is>
      </c>
      <c r="F10" s="67" t="inlineStr">
        <is>
          <t>20.9%</t>
        </is>
      </c>
    </row>
    <row r="11" ht="15" customHeight="1" s="57">
      <c r="B11" s="64" t="inlineStr">
        <is>
          <t>AOV (INR)</t>
        </is>
      </c>
      <c r="C11" s="65" t="inlineStr">
        <is>
          <t>397</t>
        </is>
      </c>
      <c r="D11" s="65" t="inlineStr">
        <is>
          <t>398</t>
        </is>
      </c>
      <c r="E11" s="65" t="inlineStr">
        <is>
          <t>407</t>
        </is>
      </c>
      <c r="F11" s="65" t="inlineStr">
        <is>
          <t>2.3%</t>
        </is>
      </c>
    </row>
    <row r="12" ht="15" customHeight="1" s="57">
      <c r="B12" s="66" t="inlineStr">
        <is>
          <t>Revenue from Operations (INR Mn)</t>
        </is>
      </c>
      <c r="C12" s="67" t="inlineStr">
        <is>
          <t>19,482</t>
        </is>
      </c>
      <c r="D12" s="67" t="inlineStr">
        <is>
          <t>41,924</t>
        </is>
      </c>
      <c r="E12" s="67" t="inlineStr">
        <is>
          <t>70,794</t>
        </is>
      </c>
      <c r="F12" s="67" t="inlineStr">
        <is>
          <t>68.9%</t>
        </is>
      </c>
    </row>
    <row r="13" ht="15" customHeight="1" s="57">
      <c r="B13" s="64" t="inlineStr">
        <is>
          <t>Reported Loss for the Year (INR Mn)</t>
        </is>
      </c>
      <c r="C13" s="65" t="inlineStr">
        <is>
          <t>-7,428</t>
        </is>
      </c>
      <c r="D13" s="65" t="inlineStr">
        <is>
          <t>-12,225</t>
        </is>
      </c>
      <c r="E13" s="65" t="inlineStr">
        <is>
          <t>-9,710</t>
        </is>
      </c>
      <c r="F13" s="65" t="inlineStr">
        <is>
          <t>NM</t>
        </is>
      </c>
    </row>
    <row r="14" ht="15" customHeight="1" s="57">
      <c r="B14" s="66" t="inlineStr">
        <is>
          <t>Adjusted EBITDA (INR Bn)</t>
        </is>
      </c>
      <c r="C14" s="67" t="inlineStr">
        <is>
          <t>-3.3</t>
        </is>
      </c>
      <c r="D14" s="67" t="inlineStr">
        <is>
          <t>-9.7</t>
        </is>
      </c>
      <c r="E14" s="67" t="inlineStr">
        <is>
          <t>-7.8</t>
        </is>
      </c>
      <c r="F14" s="67" t="inlineStr">
        <is>
          <t>NM</t>
        </is>
      </c>
    </row>
    <row r="15" ht="15" customHeight="1" s="57">
      <c r="B15" s="64" t="inlineStr">
        <is>
          <t>Total Assets (INR Mn)</t>
        </is>
      </c>
      <c r="C15" s="65" t="inlineStr">
        <is>
          <t>125,489</t>
        </is>
      </c>
      <c r="D15" s="65" t="inlineStr">
        <is>
          <t>173,270</t>
        </is>
      </c>
      <c r="E15" s="65" t="inlineStr">
        <is>
          <t>215,987</t>
        </is>
      </c>
      <c r="F15" s="65" t="inlineStr">
        <is>
          <t>24.6%</t>
        </is>
      </c>
    </row>
    <row r="16" ht="15" customHeight="1" s="57">
      <c r="B16" s="66" t="inlineStr">
        <is>
          <t>Cash &amp; Cash Equivalents (INR Mn)</t>
        </is>
      </c>
      <c r="C16" s="67" t="inlineStr">
        <is>
          <t>7,851</t>
        </is>
      </c>
      <c r="D16" s="67" t="inlineStr">
        <is>
          <t>3,923</t>
        </is>
      </c>
      <c r="E16" s="67" t="inlineStr">
        <is>
          <t>2,181</t>
        </is>
      </c>
      <c r="F16" s="67" t="inlineStr">
        <is>
          <t>-44.4%</t>
        </is>
      </c>
    </row>
    <row r="18" ht="27.75" customHeight="1" s="57">
      <c r="B18" s="62" t="inlineStr">
        <is>
          <t>SHEET INDEX</t>
        </is>
      </c>
    </row>
    <row r="19" ht="15" customHeight="1" s="57">
      <c r="B19" s="63" t="inlineStr">
        <is>
          <t>Sheet Name</t>
        </is>
      </c>
      <c r="C19" s="68" t="inlineStr">
        <is>
          <t>Description</t>
        </is>
      </c>
      <c r="D19" s="68" t="n"/>
      <c r="E19" s="68" t="n"/>
      <c r="F19" s="68" t="n"/>
    </row>
    <row r="20" ht="15" customHeight="1" s="57">
      <c r="B20" s="69" t="inlineStr">
        <is>
          <t>Key Operational Metrics</t>
        </is>
      </c>
      <c r="D20" s="64" t="inlineStr">
        <is>
          <t>GOV, Orders, AOV, customers, delivery &amp; restaurant partners</t>
        </is>
      </c>
    </row>
    <row r="21" ht="15" customHeight="1" s="57">
      <c r="B21" s="70" t="inlineStr">
        <is>
          <t>Segment Financials</t>
        </is>
      </c>
      <c r="D21" s="66" t="inlineStr">
        <is>
          <t>Adjusted Revenue &amp; Adjusted EBITDA by business segment (FY21-FY23)</t>
        </is>
      </c>
    </row>
    <row r="22" ht="15" customHeight="1" s="57">
      <c r="B22" s="69" t="inlineStr">
        <is>
          <t>Income Statement</t>
        </is>
      </c>
      <c r="D22" s="64" t="inlineStr">
        <is>
          <t>Consolidated Statement of Profit &amp; Loss (FY23 &amp; FY22)</t>
        </is>
      </c>
    </row>
    <row r="23" ht="15" customHeight="1" s="57">
      <c r="B23" s="70" t="inlineStr">
        <is>
          <t>Balance Sheet</t>
        </is>
      </c>
      <c r="D23" s="66" t="inlineStr">
        <is>
          <t>Consolidated Balance Sheet (FY23 &amp; FY22)</t>
        </is>
      </c>
    </row>
    <row r="24" ht="15" customHeight="1" s="57">
      <c r="B24" s="69" t="inlineStr">
        <is>
          <t>Cash Flow Statement</t>
        </is>
      </c>
      <c r="D24" s="64" t="inlineStr">
        <is>
          <t>Consolidated Cash Flow Statement (FY23 &amp; FY22)</t>
        </is>
      </c>
    </row>
    <row r="25" ht="15" customHeight="1" s="57">
      <c r="B25" s="70" t="inlineStr">
        <is>
          <t>Other Expenses Detail</t>
        </is>
      </c>
      <c r="D25" s="66" t="inlineStr">
        <is>
          <t>Breakdown of Other Operating Expenses (FY23 &amp; FY22)</t>
        </is>
      </c>
    </row>
    <row r="26" ht="15" customHeight="1" s="57">
      <c r="B26" s="69" t="inlineStr">
        <is>
          <t>Food Delivery Metrics</t>
        </is>
      </c>
      <c r="D26" s="64" t="inlineStr">
        <is>
          <t>Detailed Food Delivery operational &amp; financial KPIs (FY21-FY23)</t>
        </is>
      </c>
    </row>
    <row r="27" ht="15" customHeight="1" s="57">
      <c r="B27" s="70" t="inlineStr">
        <is>
          <t>Sources</t>
        </is>
      </c>
      <c r="D27" s="66" t="inlineStr">
        <is>
          <t>Data citations and page references from Zomato AR 2023</t>
        </is>
      </c>
    </row>
    <row r="29" ht="15" customHeight="1" s="57">
      <c r="B29" s="71" t="inlineStr">
        <is>
          <t>Notes: All financial figures in INR million unless stated otherwise. NM = Not Meaningful. Adjusted metrics are non-GAAP measures.</t>
        </is>
      </c>
    </row>
    <row r="30" ht="15" customHeight="1" s="57">
      <c r="B30" s="71" t="inlineStr">
        <is>
          <t>Quick commerce (Blinkit) consolidated from August 10, 2022. FY21/FY22 segment EBITDA restated for unallocated cost allocation.</t>
        </is>
      </c>
    </row>
  </sheetData>
  <mergeCells count="23">
    <mergeCell ref="B4:F4"/>
    <mergeCell ref="B7:F7"/>
    <mergeCell ref="D27:F27"/>
    <mergeCell ref="B25:C25"/>
    <mergeCell ref="B3:F3"/>
    <mergeCell ref="B22:C22"/>
    <mergeCell ref="B27:C27"/>
    <mergeCell ref="B18:F18"/>
    <mergeCell ref="B21:C21"/>
    <mergeCell ref="B2:F2"/>
    <mergeCell ref="B23:C23"/>
    <mergeCell ref="D25:F25"/>
    <mergeCell ref="D24:F24"/>
    <mergeCell ref="B29:F29"/>
    <mergeCell ref="D23:F23"/>
    <mergeCell ref="D26:F26"/>
    <mergeCell ref="D20:F20"/>
    <mergeCell ref="B30:F30"/>
    <mergeCell ref="B24:C24"/>
    <mergeCell ref="B20:C20"/>
    <mergeCell ref="D22:F22"/>
    <mergeCell ref="B26:C26"/>
    <mergeCell ref="D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42" customWidth="1" style="56" min="2" max="2"/>
    <col width="18" customWidth="1" style="56" min="3" max="7"/>
    <col width="3" customWidth="1" style="56" min="8" max="8"/>
  </cols>
  <sheetData>
    <row r="2" ht="34.5" customHeight="1" s="57">
      <c r="B2" s="72" t="inlineStr">
        <is>
          <t>Zomato Limited - Key Operational Metrics</t>
        </is>
      </c>
    </row>
    <row r="3" ht="15" customHeight="1" s="57">
      <c r="B3" s="73" t="inlineStr">
        <is>
          <t>FY21 - FY23 Performance Data</t>
        </is>
      </c>
    </row>
    <row r="4" ht="15" customHeight="1" s="57">
      <c r="B4" s="61" t="n"/>
      <c r="C4" s="61" t="n"/>
      <c r="D4" s="61" t="n"/>
      <c r="E4" s="61" t="n"/>
      <c r="F4" s="61" t="n"/>
      <c r="G4" s="61" t="n"/>
    </row>
    <row r="6" ht="24.75" customHeight="1" s="57">
      <c r="B6" s="74" t="inlineStr">
        <is>
          <t>PLATFORM METRICS</t>
        </is>
      </c>
    </row>
    <row r="7" ht="21.75" customHeight="1" s="57">
      <c r="B7" s="63" t="inlineStr">
        <is>
          <t>Metric</t>
        </is>
      </c>
      <c r="C7" s="63" t="inlineStr">
        <is>
          <t>FY21</t>
        </is>
      </c>
      <c r="D7" s="63" t="inlineStr">
        <is>
          <t>FY22</t>
        </is>
      </c>
      <c r="E7" s="63" t="inlineStr">
        <is>
          <t>FY23</t>
        </is>
      </c>
      <c r="F7" s="63" t="inlineStr">
        <is>
          <t>YoY FY23</t>
        </is>
      </c>
      <c r="G7" s="63" t="inlineStr">
        <is>
          <t>CAGR (FY21-FY23)</t>
        </is>
      </c>
    </row>
    <row r="8" ht="15" customHeight="1" s="57">
      <c r="B8" s="75" t="inlineStr">
        <is>
          <t>Gross Order Value (GOV) (INR Billion)</t>
        </is>
      </c>
      <c r="C8" s="76" t="n">
        <v>94.90000000000001</v>
      </c>
      <c r="D8" s="76" t="n">
        <v>213</v>
      </c>
      <c r="E8" s="76" t="n">
        <v>263.1</v>
      </c>
      <c r="F8" s="77">
        <f>ROUND((E8/D8-1)*100,1)&amp;"%"</f>
        <v/>
      </c>
      <c r="G8" s="77">
        <f>ROUND((E8/C8)^(1/2)-1,3)*100&amp;"%"</f>
        <v/>
      </c>
    </row>
    <row r="9" ht="15" customHeight="1" s="57">
      <c r="B9" s="78" t="inlineStr">
        <is>
          <t>Total Orders (Million)</t>
        </is>
      </c>
      <c r="C9" s="79" t="n">
        <v>238.9</v>
      </c>
      <c r="D9" s="79" t="n">
        <v>535.2</v>
      </c>
      <c r="E9" s="79" t="n">
        <v>647</v>
      </c>
      <c r="F9" s="80">
        <f>ROUND((E9/D9-1)*100,1)&amp;"%"</f>
        <v/>
      </c>
      <c r="G9" s="80">
        <f>ROUND((E9/C9)^(1/2)-1,3)*100&amp;"%"</f>
        <v/>
      </c>
    </row>
    <row r="10" ht="15" customHeight="1" s="57">
      <c r="B10" s="75" t="inlineStr">
        <is>
          <t>Average Order Value (AOV) (INR)</t>
        </is>
      </c>
      <c r="C10" s="76" t="n">
        <v>397</v>
      </c>
      <c r="D10" s="76" t="n">
        <v>398</v>
      </c>
      <c r="E10" s="76" t="n">
        <v>407</v>
      </c>
      <c r="F10" s="77">
        <f>ROUND((E10/D10-1)*100,1)&amp;"%"</f>
        <v/>
      </c>
      <c r="G10" s="77">
        <f>ROUND((E10/C10)^(1/2)-1,3)*100&amp;"%"</f>
        <v/>
      </c>
    </row>
    <row r="12" ht="24.75" customHeight="1" s="57">
      <c r="B12" s="74" t="inlineStr">
        <is>
          <t>CUSTOMER METRICS</t>
        </is>
      </c>
    </row>
    <row r="13" ht="15" customHeight="1" s="57">
      <c r="B13" s="63" t="inlineStr">
        <is>
          <t>Metric</t>
        </is>
      </c>
      <c r="C13" s="63" t="inlineStr">
        <is>
          <t>FY21</t>
        </is>
      </c>
      <c r="D13" s="63" t="inlineStr">
        <is>
          <t>FY22</t>
        </is>
      </c>
      <c r="E13" s="63" t="inlineStr">
        <is>
          <t>FY23</t>
        </is>
      </c>
      <c r="F13" s="63" t="inlineStr">
        <is>
          <t>YoY FY23</t>
        </is>
      </c>
      <c r="G13" s="63" t="inlineStr">
        <is>
          <t>CAGR (FY21-FY23)</t>
        </is>
      </c>
    </row>
    <row r="14" ht="15" customHeight="1" s="57">
      <c r="B14" s="75" t="inlineStr">
        <is>
          <t>Average Monthly Transacting Customers (Million)</t>
        </is>
      </c>
      <c r="C14" s="76" t="n">
        <v>6.8</v>
      </c>
      <c r="D14" s="76" t="n">
        <v>14.7</v>
      </c>
      <c r="E14" s="76" t="n">
        <v>17</v>
      </c>
      <c r="F14" s="77">
        <f>ROUND((E14/D14-1)*100,1)&amp;"%"</f>
        <v/>
      </c>
      <c r="G14" s="77">
        <f>ROUND((E14/C14)^(1/2)-1,3)*100&amp;"%"</f>
        <v/>
      </c>
    </row>
    <row r="15" ht="15" customHeight="1" s="57">
      <c r="B15" s="78" t="inlineStr">
        <is>
          <t>Annual Transacting Customers (Million)</t>
        </is>
      </c>
      <c r="C15" s="79" t="n">
        <v>28</v>
      </c>
      <c r="D15" s="79" t="n">
        <v>53</v>
      </c>
      <c r="E15" s="79" t="n">
        <v>58</v>
      </c>
      <c r="F15" s="80">
        <f>ROUND((E15/D15-1)*100,1)&amp;"%"</f>
        <v/>
      </c>
      <c r="G15" s="80">
        <f>ROUND((E15/C15)^(1/2)-1,3)*100&amp;"%"</f>
        <v/>
      </c>
    </row>
    <row r="17" ht="24.75" customHeight="1" s="57">
      <c r="B17" s="74" t="inlineStr">
        <is>
          <t>PARTNER METRICS</t>
        </is>
      </c>
    </row>
    <row r="18" ht="15" customHeight="1" s="57">
      <c r="B18" s="63" t="inlineStr">
        <is>
          <t>Metric</t>
        </is>
      </c>
      <c r="C18" s="63" t="inlineStr">
        <is>
          <t>FY21</t>
        </is>
      </c>
      <c r="D18" s="63" t="inlineStr">
        <is>
          <t>FY22</t>
        </is>
      </c>
      <c r="E18" s="63" t="inlineStr">
        <is>
          <t>FY23</t>
        </is>
      </c>
      <c r="F18" s="63" t="inlineStr">
        <is>
          <t>YoY FY23</t>
        </is>
      </c>
      <c r="G18" s="63" t="inlineStr">
        <is>
          <t>CAGR (FY21-FY23)</t>
        </is>
      </c>
    </row>
    <row r="19" ht="15" customHeight="1" s="57">
      <c r="B19" s="75" t="inlineStr">
        <is>
          <t>Avg Monthly Active Restaurant Partners ('000)</t>
        </is>
      </c>
      <c r="C19" s="76" t="n">
        <v>110</v>
      </c>
      <c r="D19" s="76" t="n">
        <v>180</v>
      </c>
      <c r="E19" s="76" t="n">
        <v>210</v>
      </c>
      <c r="F19" s="77">
        <f>ROUND((E19/D19-1)*100,1)&amp;"%"</f>
        <v/>
      </c>
      <c r="G19" s="77">
        <f>ROUND((E19/C19)^(1/2)-1,3)*100&amp;"%"</f>
        <v/>
      </c>
    </row>
    <row r="20" ht="15" customHeight="1" s="57">
      <c r="B20" s="78" t="inlineStr">
        <is>
          <t>Avg Monthly Active Delivery Partners ('000)</t>
        </is>
      </c>
      <c r="C20" s="79" t="n">
        <v>120</v>
      </c>
      <c r="D20" s="79" t="n">
        <v>285</v>
      </c>
      <c r="E20" s="79" t="n">
        <v>326</v>
      </c>
      <c r="F20" s="80">
        <f>ROUND((E20/D20-1)*100,1)&amp;"%"</f>
        <v/>
      </c>
      <c r="G20" s="80">
        <f>ROUND((E20/C20)^(1/2)-1,3)*100&amp;"%"</f>
        <v/>
      </c>
    </row>
    <row r="22" ht="15" customHeight="1" s="57">
      <c r="B22" s="71" t="inlineStr">
        <is>
          <t>Notes: GOV = Gross Order Value | AOV = Average Order Value | CAGR = Compound Annual Growth Rate</t>
        </is>
      </c>
    </row>
    <row r="23" ht="15" customHeight="1" s="57">
      <c r="B23" s="71" t="inlineStr">
        <is>
          <t>Sources: Zomato AR 2023, pages 12-15 (Company Overview: Operational and financial highlights)</t>
        </is>
      </c>
    </row>
  </sheetData>
  <mergeCells count="7">
    <mergeCell ref="B3:G3"/>
    <mergeCell ref="B2:G2"/>
    <mergeCell ref="B22:G22"/>
    <mergeCell ref="B17:G17"/>
    <mergeCell ref="B23:G23"/>
    <mergeCell ref="B12:G12"/>
    <mergeCell ref="B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G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35" customWidth="1" style="56" min="2" max="2"/>
    <col width="16" customWidth="1" style="56" min="3" max="7"/>
    <col width="3" customWidth="1" style="56" min="8" max="8"/>
  </cols>
  <sheetData>
    <row r="2" ht="34.5" customHeight="1" s="57">
      <c r="B2" s="72" t="inlineStr">
        <is>
          <t>Zomato Limited - Segment Financials</t>
        </is>
      </c>
    </row>
    <row r="3" ht="15" customHeight="1" s="57">
      <c r="B3" s="73" t="inlineStr">
        <is>
          <t>Adjusted Revenue &amp; Adjusted EBITDA by Business Segment (FY21 - FY23)</t>
        </is>
      </c>
    </row>
    <row r="4" ht="15" customHeight="1" s="57">
      <c r="B4" s="61" t="n"/>
      <c r="C4" s="61" t="n"/>
      <c r="D4" s="61" t="n"/>
      <c r="E4" s="61" t="n"/>
      <c r="F4" s="61" t="n"/>
      <c r="G4" s="61" t="n"/>
    </row>
    <row r="6" ht="24.75" customHeight="1" s="57">
      <c r="B6" s="74" t="inlineStr">
        <is>
          <t>ADJUSTED REVENUE (INR Billion)</t>
        </is>
      </c>
    </row>
    <row r="7" ht="21.75" customHeight="1" s="57">
      <c r="B7" s="63" t="inlineStr">
        <is>
          <t>Segment</t>
        </is>
      </c>
      <c r="C7" s="63" t="inlineStr">
        <is>
          <t>FY21</t>
        </is>
      </c>
      <c r="D7" s="63" t="inlineStr">
        <is>
          <t>FY22</t>
        </is>
      </c>
      <c r="E7" s="63" t="inlineStr">
        <is>
          <t>FY23</t>
        </is>
      </c>
      <c r="F7" s="63" t="inlineStr">
        <is>
          <t>% of Total FY23</t>
        </is>
      </c>
      <c r="G7" s="63" t="inlineStr">
        <is>
          <t>YoY FY23</t>
        </is>
      </c>
    </row>
    <row r="8" ht="15" customHeight="1" s="57">
      <c r="B8" s="64" t="inlineStr">
        <is>
          <t>Food Delivery</t>
        </is>
      </c>
      <c r="C8" s="76" t="n">
        <v>21.6</v>
      </c>
      <c r="D8" s="76" t="n">
        <v>47.6</v>
      </c>
      <c r="E8" s="76" t="n">
        <v>61.5</v>
      </c>
      <c r="F8" s="77">
        <f>ROUND(E8/SUM($E$8:$E$11)*100,1)&amp;"%"</f>
        <v/>
      </c>
      <c r="G8" s="77">
        <f>ROUND((E8/D8-1)*100,1)&amp;"%"</f>
        <v/>
      </c>
    </row>
    <row r="9" ht="15" customHeight="1" s="57">
      <c r="B9" s="81" t="inlineStr">
        <is>
          <t>Hyperpure (B2B Supplies)</t>
        </is>
      </c>
      <c r="C9" s="79" t="n">
        <v>2</v>
      </c>
      <c r="D9" s="79" t="n">
        <v>5.4</v>
      </c>
      <c r="E9" s="79" t="n">
        <v>15.1</v>
      </c>
      <c r="F9" s="80">
        <f>ROUND(E9/SUM($E$8:$E$11)*100,1)&amp;"%"</f>
        <v/>
      </c>
      <c r="G9" s="80">
        <f>ROUND((E9/D9-1)*100,1)&amp;"%"</f>
        <v/>
      </c>
    </row>
    <row r="10" ht="15" customHeight="1" s="57">
      <c r="B10" s="64" t="inlineStr">
        <is>
          <t>Quick Commerce (Blinkit)</t>
        </is>
      </c>
      <c r="C10" s="76" t="inlineStr">
        <is>
          <t>-</t>
        </is>
      </c>
      <c r="D10" s="76" t="inlineStr">
        <is>
          <t>-</t>
        </is>
      </c>
      <c r="E10" s="76" t="n">
        <v>8.1</v>
      </c>
      <c r="F10" s="77">
        <f>ROUND(E10/SUM($E$8:$E$11)*100,1)&amp;"%"</f>
        <v/>
      </c>
      <c r="G10" s="77" t="inlineStr">
        <is>
          <t>NM</t>
        </is>
      </c>
    </row>
    <row r="11" ht="15" customHeight="1" s="57">
      <c r="B11" s="81" t="inlineStr">
        <is>
          <t>Others</t>
        </is>
      </c>
      <c r="C11" s="79" t="n">
        <v>2.8</v>
      </c>
      <c r="D11" s="79" t="n">
        <v>2.4</v>
      </c>
      <c r="E11" s="79" t="n">
        <v>2.3</v>
      </c>
      <c r="F11" s="80">
        <f>ROUND(E11/SUM($E$8:$E$11)*100,1)&amp;"%"</f>
        <v/>
      </c>
      <c r="G11" s="80">
        <f>ROUND((E11/D11-1)*100,1)&amp;"%"</f>
        <v/>
      </c>
    </row>
    <row r="12" ht="15" customHeight="1" s="57">
      <c r="B12" s="82" t="inlineStr">
        <is>
          <t>Total</t>
        </is>
      </c>
      <c r="C12" s="83">
        <f>SUM(C8:C11)</f>
        <v/>
      </c>
      <c r="D12" s="83">
        <f>SUM(D8:D11)</f>
        <v/>
      </c>
      <c r="E12" s="83">
        <f>SUM(E8:E11)</f>
        <v/>
      </c>
      <c r="F12" s="84">
        <f>ROUND(E12/SUM($E$8:$E$11)*100,1)&amp;"%"</f>
        <v/>
      </c>
      <c r="G12" s="84">
        <f>ROUND((E12/D12-1)*100,1)&amp;"%"</f>
        <v/>
      </c>
    </row>
    <row r="13" ht="15" customHeight="1" s="57">
      <c r="B13" s="73" t="inlineStr">
        <is>
          <t>YoY % Change</t>
        </is>
      </c>
      <c r="C13" s="85">
        <f>-15%</f>
        <v/>
      </c>
      <c r="D13" s="86">
        <f>ROUND((D12/C12-1)*100,0)&amp;"%"</f>
        <v/>
      </c>
      <c r="E13" s="86">
        <f>ROUND((E12/D12-1)*100,0)&amp;"%"</f>
        <v/>
      </c>
      <c r="F13" s="86" t="n"/>
    </row>
    <row r="15" ht="24.75" customHeight="1" s="57">
      <c r="B15" s="74" t="inlineStr">
        <is>
          <t>ADJUSTED EBITDA (INR Billion)</t>
        </is>
      </c>
    </row>
    <row r="16" ht="21.75" customHeight="1" s="57">
      <c r="B16" s="63" t="inlineStr">
        <is>
          <t>Segment</t>
        </is>
      </c>
      <c r="C16" s="63" t="inlineStr">
        <is>
          <t>FY21</t>
        </is>
      </c>
      <c r="D16" s="63" t="inlineStr">
        <is>
          <t>FY22</t>
        </is>
      </c>
      <c r="E16" s="63" t="inlineStr">
        <is>
          <t>FY23</t>
        </is>
      </c>
      <c r="F16" s="63" t="inlineStr">
        <is>
          <t>Margin FY23 (% of Rev)</t>
        </is>
      </c>
      <c r="G16" s="63" t="inlineStr">
        <is>
          <t>YoY FY23</t>
        </is>
      </c>
    </row>
    <row r="17" ht="15" customHeight="1" s="57">
      <c r="B17" s="64" t="inlineStr">
        <is>
          <t>Food Delivery</t>
        </is>
      </c>
      <c r="C17" s="76" t="n">
        <v>-1.7</v>
      </c>
      <c r="D17" s="76" t="n">
        <v>-7.7</v>
      </c>
      <c r="E17" s="76" t="n">
        <v>-0.1</v>
      </c>
      <c r="F17" s="77">
        <f>IF(E8=0,"-",ROUND(E17/E8*100,1)&amp;"%")</f>
        <v/>
      </c>
      <c r="G17" s="77">
        <f>IF(OR(D17=0,E17=0),"NM",ROUND((E17-D17)/ABS(D17)*100,0)&amp;"%")</f>
        <v/>
      </c>
    </row>
    <row r="18" ht="15" customHeight="1" s="57">
      <c r="B18" s="81" t="inlineStr">
        <is>
          <t>Hyperpure (B2B Supplies)</t>
        </is>
      </c>
      <c r="C18" s="79" t="n">
        <v>-0.5</v>
      </c>
      <c r="D18" s="79" t="n">
        <v>-1.4</v>
      </c>
      <c r="E18" s="79" t="n">
        <v>-1.9</v>
      </c>
      <c r="F18" s="80">
        <f>IF(E9=0,"-",ROUND(E18/E9*100,1)&amp;"%")</f>
        <v/>
      </c>
      <c r="G18" s="80">
        <f>IF(OR(D18=0,E18=0),"NM",ROUND((E18-D18)/ABS(D18)*100,0)&amp;"%")</f>
        <v/>
      </c>
    </row>
    <row r="19" ht="15" customHeight="1" s="57">
      <c r="B19" s="64" t="inlineStr">
        <is>
          <t>Quick Commerce (Blinkit)</t>
        </is>
      </c>
      <c r="C19" s="76" t="inlineStr">
        <is>
          <t>-</t>
        </is>
      </c>
      <c r="D19" s="76" t="inlineStr">
        <is>
          <t>-</t>
        </is>
      </c>
      <c r="E19" s="76" t="n">
        <v>-5.6</v>
      </c>
      <c r="F19" s="77">
        <f>IF(E10=0,"-",ROUND(E19/E10*100,1)&amp;"%")</f>
        <v/>
      </c>
      <c r="G19" s="77" t="inlineStr">
        <is>
          <t>NM</t>
        </is>
      </c>
    </row>
    <row r="20" ht="15" customHeight="1" s="57">
      <c r="B20" s="81" t="inlineStr">
        <is>
          <t>Others</t>
        </is>
      </c>
      <c r="C20" s="79" t="n">
        <v>-1</v>
      </c>
      <c r="D20" s="79" t="n">
        <v>-0.7</v>
      </c>
      <c r="E20" s="79" t="n">
        <v>-0.2</v>
      </c>
      <c r="F20" s="80">
        <f>IF(E11=0,"-",ROUND(E20/E11*100,1)&amp;"%")</f>
        <v/>
      </c>
      <c r="G20" s="80">
        <f>IF(OR(D20=0,E20=0),"NM",ROUND((E20-D20)/ABS(D20)*100,0)&amp;"%")</f>
        <v/>
      </c>
    </row>
    <row r="21" ht="15" customHeight="1" s="57">
      <c r="B21" s="82" t="inlineStr">
        <is>
          <t>Total</t>
        </is>
      </c>
      <c r="C21" s="83">
        <f>SUM(C17:C20)</f>
        <v/>
      </c>
      <c r="D21" s="83">
        <f>SUM(D17:D20)</f>
        <v/>
      </c>
      <c r="E21" s="83">
        <f>SUM(E17:E20)</f>
        <v/>
      </c>
      <c r="F21" s="84">
        <f>IF(E12=0,"-",ROUND(E21/E12*100,1)&amp;"%")</f>
        <v/>
      </c>
      <c r="G21" s="84">
        <f>IF(OR(D21=0,E21=0),"NM",ROUND((E21-D21)/ABS(D21)*100,0)&amp;"%")</f>
        <v/>
      </c>
    </row>
    <row r="23" ht="15" customHeight="1" s="57">
      <c r="B23" s="71" t="inlineStr">
        <is>
          <t>Notes: Adjusted Revenue &amp; EBITDA are non-GAAP measures. Blinkit consolidated from Aug 10, 2022.</t>
        </is>
      </c>
    </row>
    <row r="24" ht="15" customHeight="1" s="57">
      <c r="B24" s="71" t="inlineStr">
        <is>
          <t>FY21/FY22 restated for unallocated cost allocation. NM = Not Meaningful. '-' = Not applicable.</t>
        </is>
      </c>
    </row>
    <row r="25" ht="15" customHeight="1" s="57">
      <c r="B25" s="71" t="inlineStr">
        <is>
          <t>Source: Zomato AR 2023, page 20 (FY23 operational and financial highlights summary)</t>
        </is>
      </c>
    </row>
  </sheetData>
  <mergeCells count="7">
    <mergeCell ref="B3:G3"/>
    <mergeCell ref="B2:G2"/>
    <mergeCell ref="B24:G24"/>
    <mergeCell ref="B23:G23"/>
    <mergeCell ref="B15:G15"/>
    <mergeCell ref="B25:G25"/>
    <mergeCell ref="B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45" customWidth="1" style="56" min="2" max="2"/>
    <col width="20" customWidth="1" style="56" min="3" max="4"/>
    <col width="3" customWidth="1" style="56" min="5" max="5"/>
  </cols>
  <sheetData>
    <row r="2" ht="34.5" customHeight="1" s="57">
      <c r="B2" s="72" t="inlineStr">
        <is>
          <t>Zomato Limited - Consolidated Statement of Profit and Loss</t>
        </is>
      </c>
    </row>
    <row r="3" ht="15" customHeight="1" s="57">
      <c r="B3" s="73" t="inlineStr">
        <is>
          <t>For the year ended March 31, 2023 and March 31, 2022</t>
        </is>
      </c>
    </row>
    <row r="4" ht="15" customHeight="1" s="57">
      <c r="B4" s="61" t="n"/>
      <c r="C4" s="61" t="n"/>
      <c r="D4" s="61" t="n"/>
    </row>
    <row r="6" ht="21.75" customHeight="1" s="57">
      <c r="B6" s="68" t="inlineStr">
        <is>
          <t>Particulars</t>
        </is>
      </c>
      <c r="C6" s="63" t="inlineStr">
        <is>
          <t>FY2023</t>
        </is>
      </c>
      <c r="D6" s="63" t="inlineStr">
        <is>
          <t>FY2022</t>
        </is>
      </c>
    </row>
    <row r="7" ht="24.75" customHeight="1" s="57">
      <c r="B7" s="74" t="inlineStr">
        <is>
          <t>INCOME</t>
        </is>
      </c>
    </row>
    <row r="8" ht="15" customHeight="1" s="57">
      <c r="B8" s="64" t="inlineStr">
        <is>
          <t>Revenue from operations</t>
        </is>
      </c>
      <c r="C8" s="87" t="n">
        <v>70794</v>
      </c>
      <c r="D8" s="87" t="n">
        <v>41924</v>
      </c>
    </row>
    <row r="9" ht="15" customHeight="1" s="57">
      <c r="B9" s="64" t="inlineStr">
        <is>
          <t>Other income</t>
        </is>
      </c>
      <c r="C9" s="87" t="n">
        <v>6815</v>
      </c>
      <c r="D9" s="87" t="n">
        <v>4949</v>
      </c>
    </row>
    <row r="10" ht="15" customHeight="1" s="57">
      <c r="B10" s="88" t="inlineStr">
        <is>
          <t>Total Income</t>
        </is>
      </c>
      <c r="C10" s="89">
        <f>SUM(C8:C9)</f>
        <v/>
      </c>
      <c r="D10" s="89">
        <f>SUM(D8:D9)</f>
        <v/>
      </c>
    </row>
    <row r="11" ht="7.5" customHeight="1" s="57"/>
    <row r="12" ht="24.75" customHeight="1" s="57">
      <c r="B12" s="74" t="inlineStr">
        <is>
          <t>EXPENSES</t>
        </is>
      </c>
    </row>
    <row r="13" ht="15" customHeight="1" s="57">
      <c r="B13" s="64" t="inlineStr">
        <is>
          <t>Purchase of stock-in-trade</t>
        </is>
      </c>
      <c r="C13" s="87" t="n">
        <v>14382</v>
      </c>
      <c r="D13" s="87" t="n">
        <v>5524</v>
      </c>
    </row>
    <row r="14" ht="15" customHeight="1" s="57">
      <c r="B14" s="64" t="inlineStr">
        <is>
          <t>Changes in inventories of stock-in-trade</t>
        </is>
      </c>
      <c r="C14" s="87" t="n">
        <v>-430</v>
      </c>
      <c r="D14" s="87" t="n">
        <v>-278</v>
      </c>
    </row>
    <row r="15" ht="15" customHeight="1" s="57">
      <c r="B15" s="64" t="inlineStr">
        <is>
          <t>Employee benefits expense</t>
        </is>
      </c>
      <c r="C15" s="87" t="n">
        <v>14650</v>
      </c>
      <c r="D15" s="87" t="n">
        <v>16331</v>
      </c>
    </row>
    <row r="16" ht="15" customHeight="1" s="57">
      <c r="B16" s="64" t="inlineStr">
        <is>
          <t>Finance costs</t>
        </is>
      </c>
      <c r="C16" s="87" t="n">
        <v>487</v>
      </c>
      <c r="D16" s="87" t="n">
        <v>120</v>
      </c>
    </row>
    <row r="17" ht="15" customHeight="1" s="57">
      <c r="B17" s="64" t="inlineStr">
        <is>
          <t>Depreciation and amortisation expense</t>
        </is>
      </c>
      <c r="C17" s="87" t="n">
        <v>4369</v>
      </c>
      <c r="D17" s="87" t="n">
        <v>1503</v>
      </c>
    </row>
    <row r="18" ht="15" customHeight="1" s="57">
      <c r="B18" s="64" t="inlineStr">
        <is>
          <t>Other expenses</t>
        </is>
      </c>
      <c r="C18" s="87" t="n">
        <v>54295</v>
      </c>
      <c r="D18" s="87" t="n">
        <v>38855</v>
      </c>
    </row>
    <row r="19" ht="15" customHeight="1" s="57">
      <c r="B19" s="88" t="inlineStr">
        <is>
          <t>Total Expenses</t>
        </is>
      </c>
      <c r="C19" s="89">
        <f>SUM(C13:C18)</f>
        <v/>
      </c>
      <c r="D19" s="89">
        <f>SUM(D13:D18)</f>
        <v/>
      </c>
    </row>
    <row r="20" ht="7.5" customHeight="1" s="57"/>
    <row r="21" ht="15" customHeight="1" s="57">
      <c r="B21" s="88" t="inlineStr">
        <is>
          <t>Loss before share of profit/(loss) of associate</t>
        </is>
      </c>
      <c r="C21" s="89">
        <f>C10-C19</f>
        <v/>
      </c>
      <c r="D21" s="89">
        <f>D10-D19</f>
        <v/>
      </c>
    </row>
    <row r="22" ht="15" customHeight="1" s="57">
      <c r="B22" s="64" t="inlineStr">
        <is>
          <t>Share of profit/(loss) of associate</t>
        </is>
      </c>
      <c r="C22" s="87" t="n">
        <v>-3</v>
      </c>
      <c r="D22" s="87" t="n">
        <v>3</v>
      </c>
    </row>
    <row r="23" ht="15" customHeight="1" s="57">
      <c r="B23" s="88" t="inlineStr">
        <is>
          <t>Loss before exceptional items</t>
        </is>
      </c>
      <c r="C23" s="89">
        <f>C21+C22</f>
        <v/>
      </c>
      <c r="D23" s="89">
        <f>D21+D22</f>
        <v/>
      </c>
    </row>
    <row r="24" ht="15" customHeight="1" s="57">
      <c r="B24" s="64" t="inlineStr">
        <is>
          <t>Exceptional items</t>
        </is>
      </c>
      <c r="C24" s="87" t="n">
        <v>1</v>
      </c>
      <c r="D24" s="87" t="n">
        <v>2974</v>
      </c>
    </row>
    <row r="25" ht="15" customHeight="1" s="57">
      <c r="B25" s="88" t="inlineStr">
        <is>
          <t>Loss before tax</t>
        </is>
      </c>
      <c r="C25" s="89">
        <f>C23-C24</f>
        <v/>
      </c>
      <c r="D25" s="89">
        <f>D23-D24</f>
        <v/>
      </c>
    </row>
    <row r="26" ht="7.5" customHeight="1" s="57"/>
    <row r="27" ht="24.75" customHeight="1" s="57">
      <c r="B27" s="74" t="inlineStr">
        <is>
          <t>TAX EXPENSE</t>
        </is>
      </c>
    </row>
    <row r="28" ht="15" customHeight="1" s="57">
      <c r="B28" s="64" t="inlineStr">
        <is>
          <t>Current tax</t>
        </is>
      </c>
      <c r="C28" s="87" t="n">
        <v>4</v>
      </c>
      <c r="D28" s="87" t="n">
        <v>20</v>
      </c>
    </row>
    <row r="29" ht="15" customHeight="1" s="57">
      <c r="B29" s="64" t="inlineStr">
        <is>
          <t>Deferred tax</t>
        </is>
      </c>
      <c r="C29" s="87" t="n">
        <v>-440</v>
      </c>
      <c r="D29" s="87" t="n">
        <v>0</v>
      </c>
    </row>
    <row r="30" ht="15" customHeight="1" s="57">
      <c r="B30" s="88" t="inlineStr">
        <is>
          <t>Total Tax Expense</t>
        </is>
      </c>
      <c r="C30" s="89">
        <f>SUM(C28:C29)</f>
        <v/>
      </c>
      <c r="D30" s="89">
        <f>SUM(D28:D29)</f>
        <v/>
      </c>
    </row>
    <row r="31" ht="7.5" customHeight="1" s="57"/>
    <row r="32" ht="15" customHeight="1" s="57">
      <c r="B32" s="88" t="inlineStr">
        <is>
          <t>Loss for the year</t>
        </is>
      </c>
      <c r="C32" s="89">
        <f>C25-C30</f>
        <v/>
      </c>
      <c r="D32" s="89">
        <f>D25-D30</f>
        <v/>
      </c>
    </row>
    <row r="33" ht="7.5" customHeight="1" s="57"/>
    <row r="34" ht="15" customHeight="1" s="57">
      <c r="B34" s="64" t="inlineStr">
        <is>
          <t>Other Comprehensive Income</t>
        </is>
      </c>
      <c r="C34" s="87" t="n">
        <v>32</v>
      </c>
      <c r="D34" s="87" t="n">
        <v>31</v>
      </c>
    </row>
    <row r="35" ht="7.5" customHeight="1" s="57"/>
    <row r="36" ht="15" customHeight="1" s="57">
      <c r="B36" s="88" t="inlineStr">
        <is>
          <t>Total Comprehensive Loss</t>
        </is>
      </c>
      <c r="C36" s="89">
        <f>C32+C34</f>
        <v/>
      </c>
      <c r="D36" s="89">
        <f>D32+D34</f>
        <v/>
      </c>
    </row>
    <row r="37" ht="7.5" customHeight="1" s="57"/>
    <row r="38" ht="24.75" customHeight="1" s="57">
      <c r="B38" s="74" t="inlineStr">
        <is>
          <t>EARNINGS PER SHARE (INR)</t>
        </is>
      </c>
    </row>
    <row r="39" ht="15" customHeight="1" s="57">
      <c r="B39" s="64" t="inlineStr">
        <is>
          <t>Basic EPS (INR)</t>
        </is>
      </c>
      <c r="C39" s="87" t="n">
        <v>-1.16</v>
      </c>
      <c r="D39" s="87" t="n">
        <v>-1.64</v>
      </c>
    </row>
    <row r="40" ht="15" customHeight="1" s="57">
      <c r="B40" s="64" t="inlineStr">
        <is>
          <t>Diluted EPS (INR)</t>
        </is>
      </c>
      <c r="C40" s="87" t="n">
        <v>-1.16</v>
      </c>
      <c r="D40" s="87" t="n">
        <v>-1.64</v>
      </c>
    </row>
    <row r="42" ht="15" customHeight="1" s="57">
      <c r="B42" s="71" t="inlineStr">
        <is>
          <t>Notes: All figures in INR million. Figures in brackets represent negative values/gains.</t>
        </is>
      </c>
    </row>
    <row r="43" ht="15" customHeight="1" s="57">
      <c r="B43" s="71" t="inlineStr">
        <is>
          <t>Source: Zomato AR 2023, pages 138-139 (Consolidated Statement of Profit and Loss)</t>
        </is>
      </c>
    </row>
  </sheetData>
  <mergeCells count="8">
    <mergeCell ref="B42:D42"/>
    <mergeCell ref="B3:D3"/>
    <mergeCell ref="B27:D27"/>
    <mergeCell ref="B43:D43"/>
    <mergeCell ref="B12:D12"/>
    <mergeCell ref="B7:D7"/>
    <mergeCell ref="B38:D38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D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50" customWidth="1" style="56" min="2" max="2"/>
    <col width="20" customWidth="1" style="56" min="3" max="4"/>
    <col width="3" customWidth="1" style="56" min="5" max="5"/>
  </cols>
  <sheetData>
    <row r="2" ht="34.5" customHeight="1" s="57">
      <c r="B2" s="72" t="inlineStr">
        <is>
          <t>Zomato Limited - Consolidated Balance Sheet</t>
        </is>
      </c>
    </row>
    <row r="3" ht="15" customHeight="1" s="57">
      <c r="B3" s="73" t="inlineStr">
        <is>
          <t>As at March 31, 2023 and March 31, 2022</t>
        </is>
      </c>
    </row>
    <row r="4" ht="15" customHeight="1" s="57">
      <c r="B4" s="61" t="n"/>
      <c r="C4" s="61" t="n"/>
      <c r="D4" s="61" t="n"/>
    </row>
    <row r="6" ht="21.75" customHeight="1" s="57">
      <c r="B6" s="68" t="inlineStr">
        <is>
          <t>Particulars</t>
        </is>
      </c>
      <c r="C6" s="63" t="inlineStr">
        <is>
          <t>FY2023</t>
        </is>
      </c>
      <c r="D6" s="63" t="inlineStr">
        <is>
          <t>FY2022</t>
        </is>
      </c>
    </row>
    <row r="7" ht="24.75" customHeight="1" s="57">
      <c r="B7" s="74" t="inlineStr">
        <is>
          <t>ASSETS</t>
        </is>
      </c>
    </row>
    <row r="8" ht="24.75" customHeight="1" s="57">
      <c r="B8" s="74" t="inlineStr">
        <is>
          <t>Non-current assets</t>
        </is>
      </c>
    </row>
    <row r="9" ht="15" customHeight="1" s="57">
      <c r="B9" s="90" t="inlineStr">
        <is>
          <t>Property, plant and equipment</t>
        </is>
      </c>
      <c r="C9" s="87" t="n">
        <v>2085</v>
      </c>
      <c r="D9" s="87" t="n">
        <v>509</v>
      </c>
    </row>
    <row r="10" ht="15" customHeight="1" s="57">
      <c r="B10" s="90" t="inlineStr">
        <is>
          <t>Right-of-use assets</t>
        </is>
      </c>
      <c r="C10" s="87" t="n">
        <v>4272</v>
      </c>
      <c r="D10" s="87" t="n">
        <v>542</v>
      </c>
    </row>
    <row r="11" ht="15" customHeight="1" s="57">
      <c r="B11" s="90" t="inlineStr">
        <is>
          <t>Capital work-in-progress</t>
        </is>
      </c>
      <c r="C11" s="87" t="n">
        <v>75</v>
      </c>
      <c r="D11" s="87" t="n">
        <v>6</v>
      </c>
    </row>
    <row r="12" ht="15" customHeight="1" s="57">
      <c r="B12" s="90" t="inlineStr">
        <is>
          <t>Goodwill</t>
        </is>
      </c>
      <c r="C12" s="87" t="n">
        <v>47166</v>
      </c>
      <c r="D12" s="87" t="n">
        <v>12093</v>
      </c>
    </row>
    <row r="13" ht="15" customHeight="1" s="57">
      <c r="B13" s="90" t="inlineStr">
        <is>
          <t>Other intangible assets</t>
        </is>
      </c>
      <c r="C13" s="87" t="n">
        <v>9905</v>
      </c>
      <c r="D13" s="87" t="n">
        <v>799</v>
      </c>
    </row>
    <row r="14" ht="15" customHeight="1" s="57">
      <c r="B14" s="90" t="inlineStr">
        <is>
          <t>Financial assets - Investments</t>
        </is>
      </c>
      <c r="C14" s="87" t="n">
        <v>22796</v>
      </c>
      <c r="D14" s="87" t="n">
        <v>30860</v>
      </c>
    </row>
    <row r="15" ht="15" customHeight="1" s="57">
      <c r="B15" s="90" t="inlineStr">
        <is>
          <t>Financial assets - Other financial assets</t>
        </is>
      </c>
      <c r="C15" s="87" t="n">
        <v>18942</v>
      </c>
      <c r="D15" s="87" t="n">
        <v>52191</v>
      </c>
    </row>
    <row r="16" ht="15" customHeight="1" s="57">
      <c r="B16" s="90" t="inlineStr">
        <is>
          <t>Tax assets (net)</t>
        </is>
      </c>
      <c r="C16" s="87" t="n">
        <v>1161</v>
      </c>
      <c r="D16" s="87" t="n">
        <v>670</v>
      </c>
    </row>
    <row r="17" ht="15" customHeight="1" s="57">
      <c r="B17" s="90" t="inlineStr">
        <is>
          <t>Other non-current assets</t>
        </is>
      </c>
      <c r="C17" s="87" t="n">
        <v>1275</v>
      </c>
      <c r="D17" s="87" t="n">
        <v>50</v>
      </c>
    </row>
    <row r="18" ht="15" customHeight="1" s="57">
      <c r="B18" s="91" t="inlineStr">
        <is>
          <t>Total non-current assets</t>
        </is>
      </c>
      <c r="C18" s="92">
        <f>SUM(C9:C17)</f>
        <v/>
      </c>
      <c r="D18" s="92">
        <f>SUM(D9:D17)</f>
        <v/>
      </c>
    </row>
    <row r="19" ht="7.5" customHeight="1" s="57"/>
    <row r="20" ht="24.75" customHeight="1" s="57">
      <c r="B20" s="74" t="inlineStr">
        <is>
          <t>Current assets</t>
        </is>
      </c>
    </row>
    <row r="21" ht="15" customHeight="1" s="57">
      <c r="B21" s="90" t="inlineStr">
        <is>
          <t>Inventories</t>
        </is>
      </c>
      <c r="C21" s="87" t="n">
        <v>827</v>
      </c>
      <c r="D21" s="87" t="n">
        <v>397</v>
      </c>
    </row>
    <row r="22" ht="15" customHeight="1" s="57">
      <c r="B22" s="90" t="inlineStr">
        <is>
          <t>Financial assets - Investments</t>
        </is>
      </c>
      <c r="C22" s="87" t="n">
        <v>44850</v>
      </c>
      <c r="D22" s="87" t="n">
        <v>16317</v>
      </c>
    </row>
    <row r="23" ht="15" customHeight="1" s="57">
      <c r="B23" s="90" t="inlineStr">
        <is>
          <t>Financial assets - Trade receivables</t>
        </is>
      </c>
      <c r="C23" s="87" t="n">
        <v>4569</v>
      </c>
      <c r="D23" s="87" t="n">
        <v>1599</v>
      </c>
    </row>
    <row r="24" ht="15" customHeight="1" s="57">
      <c r="B24" s="90" t="inlineStr">
        <is>
          <t>Financial assets - Cash and cash equivalents</t>
        </is>
      </c>
      <c r="C24" s="87" t="n">
        <v>2181</v>
      </c>
      <c r="D24" s="87" t="n">
        <v>3923</v>
      </c>
    </row>
    <row r="25" ht="15" customHeight="1" s="57">
      <c r="B25" s="90" t="inlineStr">
        <is>
          <t>Financial assets - Other bank balances</t>
        </is>
      </c>
      <c r="C25" s="87" t="n">
        <v>7987</v>
      </c>
      <c r="D25" s="87" t="n">
        <v>11832</v>
      </c>
    </row>
    <row r="26" ht="15" customHeight="1" s="57">
      <c r="B26" s="90" t="inlineStr">
        <is>
          <t>Financial assets - Loans</t>
        </is>
      </c>
      <c r="C26" s="87" t="n">
        <v>4</v>
      </c>
      <c r="D26" s="87" t="n">
        <v>3750</v>
      </c>
    </row>
    <row r="27" ht="15" customHeight="1" s="57">
      <c r="B27" s="90" t="inlineStr">
        <is>
          <t>Financial assets - Other financial assets</t>
        </is>
      </c>
      <c r="C27" s="87" t="n">
        <v>44177</v>
      </c>
      <c r="D27" s="87" t="n">
        <v>36674</v>
      </c>
    </row>
    <row r="28" ht="15" customHeight="1" s="57">
      <c r="B28" s="90" t="inlineStr">
        <is>
          <t>Other current assets</t>
        </is>
      </c>
      <c r="C28" s="87" t="n">
        <v>3715</v>
      </c>
      <c r="D28" s="87" t="n">
        <v>958</v>
      </c>
    </row>
    <row r="29" ht="15" customHeight="1" s="57">
      <c r="B29" s="91" t="inlineStr">
        <is>
          <t>Total current assets</t>
        </is>
      </c>
      <c r="C29" s="92">
        <f>SUM(C20:C27)</f>
        <v/>
      </c>
      <c r="D29" s="92">
        <f>SUM(D20:D27)</f>
        <v/>
      </c>
    </row>
    <row r="30" ht="7.5" customHeight="1" s="57"/>
    <row r="31" ht="21.75" customHeight="1" s="57">
      <c r="B31" s="93" t="inlineStr">
        <is>
          <t>TOTAL ASSETS</t>
        </is>
      </c>
      <c r="C31" s="94">
        <f>C18+C28</f>
        <v/>
      </c>
      <c r="D31" s="94">
        <f>D18+D28</f>
        <v/>
      </c>
    </row>
    <row r="32" ht="7.5" customHeight="1" s="57"/>
    <row r="33" ht="24.75" customHeight="1" s="57">
      <c r="B33" s="74" t="inlineStr">
        <is>
          <t>EQUITY AND LIABILITIES</t>
        </is>
      </c>
    </row>
    <row r="34" ht="24.75" customHeight="1" s="57">
      <c r="B34" s="74" t="inlineStr">
        <is>
          <t>Equity</t>
        </is>
      </c>
    </row>
    <row r="35" ht="15" customHeight="1" s="57">
      <c r="B35" s="90" t="inlineStr">
        <is>
          <t>Equity share capital</t>
        </is>
      </c>
      <c r="C35" s="87" t="n">
        <v>8364</v>
      </c>
      <c r="D35" s="87" t="n">
        <v>7643</v>
      </c>
    </row>
    <row r="36" ht="15" customHeight="1" s="57">
      <c r="B36" s="90" t="inlineStr">
        <is>
          <t>Other equity</t>
        </is>
      </c>
      <c r="C36" s="87" t="n">
        <v>186234</v>
      </c>
      <c r="D36" s="87" t="n">
        <v>157412</v>
      </c>
    </row>
    <row r="37" ht="15" customHeight="1" s="57">
      <c r="B37" s="91" t="inlineStr">
        <is>
          <t>Equity attributable to equity shareholders</t>
        </is>
      </c>
      <c r="C37" s="92">
        <f>SUM(C34:C35)</f>
        <v/>
      </c>
      <c r="D37" s="92">
        <f>SUM(D34:D35)</f>
        <v/>
      </c>
    </row>
    <row r="38" ht="15" customHeight="1" s="57">
      <c r="B38" s="90" t="inlineStr">
        <is>
          <t>Non-controlling interests</t>
        </is>
      </c>
      <c r="C38" s="87" t="n">
        <v>-66</v>
      </c>
      <c r="D38" s="87" t="n">
        <v>-66</v>
      </c>
    </row>
    <row r="39" ht="15" customHeight="1" s="57">
      <c r="B39" s="91" t="inlineStr">
        <is>
          <t>Total equity</t>
        </is>
      </c>
      <c r="C39" s="92">
        <f>C36+C37</f>
        <v/>
      </c>
      <c r="D39" s="92">
        <f>D36+D37</f>
        <v/>
      </c>
    </row>
    <row r="40" ht="7.5" customHeight="1" s="57"/>
    <row r="41" ht="24.75" customHeight="1" s="57">
      <c r="B41" s="74" t="inlineStr">
        <is>
          <t>Non-current liabilities</t>
        </is>
      </c>
    </row>
    <row r="42" ht="15" customHeight="1" s="57">
      <c r="B42" s="90" t="inlineStr">
        <is>
          <t>Financial liabilities - Borrowings</t>
        </is>
      </c>
      <c r="C42" s="87" t="n">
        <v>4323</v>
      </c>
      <c r="D42" s="87" t="n">
        <v>2285</v>
      </c>
    </row>
    <row r="43" ht="15" customHeight="1" s="57">
      <c r="B43" s="90" t="inlineStr">
        <is>
          <t>Financial liabilities - Lease liabilities</t>
        </is>
      </c>
      <c r="C43" s="87" t="n">
        <v>1013</v>
      </c>
      <c r="D43" s="87" t="n">
        <v>1802</v>
      </c>
    </row>
    <row r="44" ht="15" customHeight="1" s="57">
      <c r="B44" s="90" t="inlineStr">
        <is>
          <t>Provisions</t>
        </is>
      </c>
      <c r="C44" s="87" t="n">
        <v>573</v>
      </c>
      <c r="D44" s="87" t="n">
        <v>87</v>
      </c>
    </row>
    <row r="45" ht="15" customHeight="1" s="57">
      <c r="B45" s="90" t="inlineStr">
        <is>
          <t>Other non-current liabilities</t>
        </is>
      </c>
      <c r="C45" s="87" t="n">
        <v>136</v>
      </c>
      <c r="D45" s="87" t="n">
        <v>3</v>
      </c>
    </row>
    <row r="46" ht="15" customHeight="1" s="57">
      <c r="B46" s="91" t="inlineStr">
        <is>
          <t>Total non-current liabilities</t>
        </is>
      </c>
      <c r="C46" s="92">
        <f>SUM(C41:C44)</f>
        <v/>
      </c>
      <c r="D46" s="92">
        <f>SUM(D41:D44)</f>
        <v/>
      </c>
    </row>
    <row r="47" ht="7.5" customHeight="1" s="57"/>
    <row r="48" ht="24.75" customHeight="1" s="57">
      <c r="B48" s="74" t="inlineStr">
        <is>
          <t>Current liabilities</t>
        </is>
      </c>
    </row>
    <row r="49" ht="15" customHeight="1" s="57">
      <c r="B49" s="90" t="inlineStr">
        <is>
          <t>Financial liabilities - Borrowings</t>
        </is>
      </c>
      <c r="C49" s="87" t="n">
        <v>192</v>
      </c>
      <c r="D49" s="87" t="n">
        <v>250</v>
      </c>
    </row>
    <row r="50" ht="15" customHeight="1" s="57">
      <c r="B50" s="90" t="inlineStr">
        <is>
          <t>Financial liabilities - Lease liabilities</t>
        </is>
      </c>
      <c r="C50" s="87" t="n">
        <v>786</v>
      </c>
      <c r="D50" s="87" t="n">
        <v>745</v>
      </c>
    </row>
    <row r="51" ht="15" customHeight="1" s="57">
      <c r="B51" s="90" t="inlineStr">
        <is>
          <t>Trade payables</t>
        </is>
      </c>
      <c r="C51" s="87" t="n">
        <v>4208</v>
      </c>
      <c r="D51" s="87" t="n">
        <v>4862</v>
      </c>
    </row>
    <row r="52" ht="15" customHeight="1" s="57">
      <c r="B52" s="90" t="inlineStr">
        <is>
          <t>Financial liabilities - Other financial liabilities</t>
        </is>
      </c>
      <c r="C52" s="87" t="n">
        <v>3065</v>
      </c>
      <c r="D52" s="87" t="n">
        <v>2492</v>
      </c>
    </row>
    <row r="53" ht="15" customHeight="1" s="57">
      <c r="B53" s="90" t="inlineStr">
        <is>
          <t>Other current liabilities</t>
        </is>
      </c>
      <c r="C53" s="87" t="n">
        <v>2655</v>
      </c>
      <c r="D53" s="87" t="n">
        <v>2030</v>
      </c>
    </row>
    <row r="54" ht="15" customHeight="1" s="57">
      <c r="B54" s="90" t="inlineStr">
        <is>
          <t>Provisions</t>
        </is>
      </c>
      <c r="C54" s="87" t="n">
        <v>121</v>
      </c>
      <c r="D54" s="87" t="n">
        <v>5</v>
      </c>
    </row>
    <row r="55" ht="15" customHeight="1" s="57">
      <c r="B55" s="90" t="inlineStr">
        <is>
          <t>Current tax liabilities</t>
        </is>
      </c>
      <c r="C55" s="87" t="n">
        <v>383</v>
      </c>
      <c r="D55" s="87" t="n">
        <v>15</v>
      </c>
    </row>
    <row r="56" ht="15" customHeight="1" s="57">
      <c r="B56" s="91" t="inlineStr">
        <is>
          <t>Total current liabilities</t>
        </is>
      </c>
      <c r="C56" s="92">
        <f>SUM(C48:C54)</f>
        <v/>
      </c>
      <c r="D56" s="92">
        <f>SUM(D48:D54)</f>
        <v/>
      </c>
    </row>
    <row r="57" ht="7.5" customHeight="1" s="57"/>
    <row r="58" ht="21.75" customHeight="1" s="57">
      <c r="B58" s="93" t="inlineStr">
        <is>
          <t>TOTAL EQUITY AND LIABILITIES</t>
        </is>
      </c>
      <c r="C58" s="94">
        <f>C38+C45+C55</f>
        <v/>
      </c>
      <c r="D58" s="94">
        <f>D38+D45+D55</f>
        <v/>
      </c>
    </row>
    <row r="60" ht="15" customHeight="1" s="57">
      <c r="B60" s="71" t="inlineStr">
        <is>
          <t>Notes: All figures in INR million. Figures in brackets represent negative values.</t>
        </is>
      </c>
    </row>
    <row r="61" ht="15" customHeight="1" s="57">
      <c r="B61" s="71" t="inlineStr">
        <is>
          <t>Source: Zomato AR 2023, pages 136-137 (Consolidated Balance Sheet)</t>
        </is>
      </c>
    </row>
  </sheetData>
  <mergeCells count="11">
    <mergeCell ref="B33:D33"/>
    <mergeCell ref="B3:D3"/>
    <mergeCell ref="B60:D60"/>
    <mergeCell ref="B20:D20"/>
    <mergeCell ref="B61:D61"/>
    <mergeCell ref="B41:D41"/>
    <mergeCell ref="B8:D8"/>
    <mergeCell ref="B2:D2"/>
    <mergeCell ref="B7:D7"/>
    <mergeCell ref="B48:D48"/>
    <mergeCell ref="B34:D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D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55" customWidth="1" style="56" min="2" max="2"/>
    <col width="20" customWidth="1" style="56" min="3" max="4"/>
    <col width="3" customWidth="1" style="56" min="5" max="5"/>
  </cols>
  <sheetData>
    <row r="2" ht="34.5" customHeight="1" s="57">
      <c r="B2" s="72" t="inlineStr">
        <is>
          <t>Zomato Limited - Consolidated Cash Flow Statement</t>
        </is>
      </c>
    </row>
    <row r="3" ht="15" customHeight="1" s="57">
      <c r="B3" s="73" t="inlineStr">
        <is>
          <t>For the year ended March 31, 2023 and March 31, 2022</t>
        </is>
      </c>
    </row>
    <row r="4" ht="15" customHeight="1" s="57">
      <c r="B4" s="61" t="n"/>
      <c r="C4" s="61" t="n"/>
      <c r="D4" s="61" t="n"/>
    </row>
    <row r="6" ht="21.75" customHeight="1" s="57">
      <c r="B6" s="68" t="inlineStr">
        <is>
          <t>Particulars</t>
        </is>
      </c>
      <c r="C6" s="63" t="inlineStr">
        <is>
          <t>FY2023</t>
        </is>
      </c>
      <c r="D6" s="63" t="inlineStr">
        <is>
          <t>FY2022</t>
        </is>
      </c>
    </row>
    <row r="7" ht="24.75" customHeight="1" s="57">
      <c r="B7" s="74" t="inlineStr">
        <is>
          <t>CASH FLOW FROM OPERATING ACTIVITIES</t>
        </is>
      </c>
    </row>
    <row r="8" ht="15" customHeight="1" s="57">
      <c r="B8" s="90" t="inlineStr">
        <is>
          <t>Loss before tax</t>
        </is>
      </c>
      <c r="C8" s="87" t="n">
        <v>-10146</v>
      </c>
      <c r="D8" s="87" t="n">
        <v>-12205</v>
      </c>
    </row>
    <row r="9" ht="15" customHeight="1" s="57">
      <c r="B9" s="95" t="inlineStr">
        <is>
          <t>Adjustments for:</t>
        </is>
      </c>
    </row>
    <row r="10" ht="15" customHeight="1" s="57">
      <c r="B10" s="96" t="inlineStr">
        <is>
          <t>Depreciation and amortisation</t>
        </is>
      </c>
      <c r="C10" s="97" t="n">
        <v>4369</v>
      </c>
      <c r="D10" s="97" t="n">
        <v>1503</v>
      </c>
    </row>
    <row r="11" ht="15" customHeight="1" s="57">
      <c r="B11" s="96" t="inlineStr">
        <is>
          <t>Share-based payment expense</t>
        </is>
      </c>
      <c r="C11" s="97" t="n">
        <v>5058</v>
      </c>
      <c r="D11" s="97" t="n">
        <v>8779</v>
      </c>
    </row>
    <row r="12" ht="15" customHeight="1" s="57">
      <c r="B12" s="96" t="inlineStr">
        <is>
          <t>Interest expense</t>
        </is>
      </c>
      <c r="C12" s="97" t="n">
        <v>50</v>
      </c>
      <c r="D12" s="97" t="n">
        <v>7</v>
      </c>
    </row>
    <row r="13" ht="15" customHeight="1" s="57">
      <c r="B13" s="96" t="inlineStr">
        <is>
          <t>Interest income on bank deposits</t>
        </is>
      </c>
      <c r="C13" s="97" t="n">
        <v>-4571</v>
      </c>
      <c r="D13" s="97" t="n">
        <v>-3951</v>
      </c>
    </row>
    <row r="14" ht="15" customHeight="1" s="57">
      <c r="B14" s="96" t="inlineStr">
        <is>
          <t>Interest income on Government securities</t>
        </is>
      </c>
      <c r="C14" s="97" t="n">
        <v>-671</v>
      </c>
      <c r="D14" s="97" t="n">
        <v>0</v>
      </c>
    </row>
    <row r="15" ht="15" customHeight="1" s="57">
      <c r="B15" s="96" t="inlineStr">
        <is>
          <t>Net gain on mutual funds</t>
        </is>
      </c>
      <c r="C15" s="97" t="n">
        <v>-913</v>
      </c>
      <c r="D15" s="97" t="n">
        <v>-586</v>
      </c>
    </row>
    <row r="16" ht="15" customHeight="1" s="57">
      <c r="B16" s="96" t="inlineStr">
        <is>
          <t>Provision for doubtful debts</t>
        </is>
      </c>
      <c r="C16" s="97" t="n">
        <v>304</v>
      </c>
      <c r="D16" s="97" t="n">
        <v>208</v>
      </c>
    </row>
    <row r="17" ht="15" customHeight="1" s="57">
      <c r="B17" s="96" t="inlineStr">
        <is>
          <t>Loss/(profit) on sale of PPE</t>
        </is>
      </c>
      <c r="C17" s="97" t="n">
        <v>-10</v>
      </c>
      <c r="D17" s="97" t="n">
        <v>-5</v>
      </c>
    </row>
    <row r="18" ht="15" customHeight="1" s="57">
      <c r="B18" s="96" t="inlineStr">
        <is>
          <t>Share in (profit)/loss of associate</t>
        </is>
      </c>
      <c r="C18" s="97" t="n">
        <v>3</v>
      </c>
      <c r="D18" s="97" t="n">
        <v>-3</v>
      </c>
    </row>
    <row r="19" ht="15" customHeight="1" s="57">
      <c r="B19" s="96" t="inlineStr">
        <is>
          <t>Gain on disposal of investment</t>
        </is>
      </c>
      <c r="C19" s="97" t="n">
        <v>-1</v>
      </c>
      <c r="D19" s="97" t="n">
        <v>-3227</v>
      </c>
    </row>
    <row r="20" ht="15" customHeight="1" s="57">
      <c r="B20" s="96" t="inlineStr">
        <is>
          <t>Liabilities written back</t>
        </is>
      </c>
      <c r="C20" s="97" t="n">
        <v>-278</v>
      </c>
      <c r="D20" s="97" t="n">
        <v>-87</v>
      </c>
    </row>
    <row r="21" ht="15" customHeight="1" s="57">
      <c r="B21" s="96" t="inlineStr">
        <is>
          <t>Other adjustments</t>
        </is>
      </c>
      <c r="C21" s="97" t="n">
        <v>343</v>
      </c>
      <c r="D21" s="97" t="n">
        <v>-189</v>
      </c>
    </row>
    <row r="22" ht="15" customHeight="1" s="57">
      <c r="B22" s="98" t="inlineStr">
        <is>
          <t>Total adjustments</t>
        </is>
      </c>
      <c r="C22" s="92">
        <f>SUM(C10:C21)</f>
        <v/>
      </c>
      <c r="D22" s="92">
        <f>SUM(D10:D21)</f>
        <v/>
      </c>
    </row>
    <row r="23" ht="15" customHeight="1" s="57">
      <c r="B23" s="88" t="inlineStr">
        <is>
          <t>Operating loss before working capital changes</t>
        </is>
      </c>
      <c r="C23" s="89">
        <f>C8+C22</f>
        <v/>
      </c>
      <c r="D23" s="89">
        <f>D8+D22</f>
        <v/>
      </c>
    </row>
    <row r="24" ht="15" customHeight="1" s="57">
      <c r="B24" s="95" t="inlineStr">
        <is>
          <t>Changes in working capital:</t>
        </is>
      </c>
    </row>
    <row r="25" ht="15" customHeight="1" s="57">
      <c r="B25" s="96" t="inlineStr">
        <is>
          <t>Increase in trade receivables</t>
        </is>
      </c>
      <c r="C25" s="97" t="n">
        <v>-2029</v>
      </c>
      <c r="D25" s="97" t="n">
        <v>-341</v>
      </c>
    </row>
    <row r="26" ht="15" customHeight="1" s="57">
      <c r="B26" s="96" t="inlineStr">
        <is>
          <t>Increase in other financial assets</t>
        </is>
      </c>
      <c r="C26" s="97" t="n">
        <v>-1983</v>
      </c>
      <c r="D26" s="97" t="n">
        <v>-445</v>
      </c>
    </row>
    <row r="27" ht="15" customHeight="1" s="57">
      <c r="B27" s="96" t="inlineStr">
        <is>
          <t>Increase in other assets</t>
        </is>
      </c>
      <c r="C27" s="97" t="n">
        <v>-38</v>
      </c>
      <c r="D27" s="97" t="n">
        <v>1215</v>
      </c>
    </row>
    <row r="28" ht="15" customHeight="1" s="57">
      <c r="B28" s="96" t="inlineStr">
        <is>
          <t>Increase in inventories</t>
        </is>
      </c>
      <c r="C28" s="97" t="n">
        <v>-430</v>
      </c>
      <c r="D28" s="97" t="n">
        <v>-277</v>
      </c>
    </row>
    <row r="29" ht="15" customHeight="1" s="57">
      <c r="B29" s="96" t="inlineStr">
        <is>
          <t>Increase in financial liabilities &amp; other liabilities</t>
        </is>
      </c>
      <c r="C29" s="97" t="n">
        <v>3181</v>
      </c>
      <c r="D29" s="97" t="n">
        <v>482</v>
      </c>
    </row>
    <row r="30" ht="15" customHeight="1" s="57">
      <c r="B30" s="96" t="inlineStr">
        <is>
          <t>Increase in provisions</t>
        </is>
      </c>
      <c r="C30" s="97" t="n">
        <v>252</v>
      </c>
      <c r="D30" s="97" t="n">
        <v>448</v>
      </c>
    </row>
    <row r="31" ht="15" customHeight="1" s="57">
      <c r="B31" s="96" t="inlineStr">
        <is>
          <t>Increase/(decrease) in trade payables</t>
        </is>
      </c>
      <c r="C31" s="97" t="n">
        <v>-712</v>
      </c>
      <c r="D31" s="97" t="n">
        <v>1401</v>
      </c>
    </row>
    <row r="32" ht="15" customHeight="1" s="57">
      <c r="B32" s="98" t="inlineStr">
        <is>
          <t>Total working capital changes</t>
        </is>
      </c>
      <c r="C32" s="92">
        <f>SUM(C25:C31)</f>
        <v/>
      </c>
      <c r="D32" s="92">
        <f>SUM(D25:D31)</f>
        <v/>
      </c>
    </row>
    <row r="33" ht="15" customHeight="1" s="57">
      <c r="B33" s="88" t="inlineStr">
        <is>
          <t>Cash (used in) operations</t>
        </is>
      </c>
      <c r="C33" s="89">
        <f>C23+C32</f>
        <v/>
      </c>
      <c r="D33" s="89">
        <f>D23+D32</f>
        <v/>
      </c>
    </row>
    <row r="34" ht="15" customHeight="1" s="57">
      <c r="B34" s="90" t="inlineStr">
        <is>
          <t>Income taxes (paid)/refund</t>
        </is>
      </c>
      <c r="C34" s="87" t="n">
        <v>-308</v>
      </c>
      <c r="D34" s="87" t="n">
        <v>-182</v>
      </c>
    </row>
    <row r="35" ht="21.75" customHeight="1" s="57">
      <c r="B35" s="99" t="inlineStr">
        <is>
          <t>Net cash from/(used in) operating activities</t>
        </is>
      </c>
      <c r="C35" s="100">
        <f>C33+C34</f>
        <v/>
      </c>
      <c r="D35" s="100">
        <f>D33+D34</f>
        <v/>
      </c>
    </row>
    <row r="36" ht="7.5" customHeight="1" s="57"/>
    <row r="37" ht="24.75" customHeight="1" s="57">
      <c r="B37" s="74" t="inlineStr">
        <is>
          <t>CASH FLOW FROM INVESTING ACTIVITIES</t>
        </is>
      </c>
    </row>
    <row r="38" ht="15" customHeight="1" s="57">
      <c r="B38" s="90" t="inlineStr">
        <is>
          <t>Purchase of property, plant and equipment</t>
        </is>
      </c>
      <c r="C38" s="87" t="n">
        <v>-1030</v>
      </c>
      <c r="D38" s="87" t="n">
        <v>-590</v>
      </c>
    </row>
    <row r="39" ht="15" customHeight="1" s="57">
      <c r="B39" s="90" t="inlineStr">
        <is>
          <t>Proceeds from sale of PPE</t>
        </is>
      </c>
      <c r="C39" s="87" t="n">
        <v>16</v>
      </c>
      <c r="D39" s="87" t="n">
        <v>18</v>
      </c>
    </row>
    <row r="40" ht="15" customHeight="1" s="57">
      <c r="B40" s="90" t="inlineStr">
        <is>
          <t>Investments in bank deposits</t>
        </is>
      </c>
      <c r="C40" s="87" t="n">
        <v>-54328</v>
      </c>
      <c r="D40" s="87" t="n">
        <v>-117142</v>
      </c>
    </row>
    <row r="41" ht="15" customHeight="1" s="57">
      <c r="B41" s="90" t="inlineStr">
        <is>
          <t>Proceeds from maturity of bank deposits</t>
        </is>
      </c>
      <c r="C41" s="87" t="n">
        <v>87214</v>
      </c>
      <c r="D41" s="87" t="n">
        <v>61834</v>
      </c>
    </row>
    <row r="42" ht="15" customHeight="1" s="57">
      <c r="B42" s="90" t="inlineStr">
        <is>
          <t>Proceeds from redemption of mutual fund units</t>
        </is>
      </c>
      <c r="C42" s="87" t="n">
        <v>126489</v>
      </c>
      <c r="D42" s="87" t="n">
        <v>49331</v>
      </c>
    </row>
    <row r="43" ht="15" customHeight="1" s="57">
      <c r="B43" s="90" t="inlineStr">
        <is>
          <t>Investment in mutual fund units</t>
        </is>
      </c>
      <c r="C43" s="87" t="n">
        <v>-144429</v>
      </c>
      <c r="D43" s="87" t="n">
        <v>-43010</v>
      </c>
    </row>
    <row r="44" ht="15" customHeight="1" s="57">
      <c r="B44" s="90" t="inlineStr">
        <is>
          <t>Purchase of non-current investments</t>
        </is>
      </c>
      <c r="C44" s="87" t="n">
        <v>0</v>
      </c>
      <c r="D44" s="87" t="n">
        <v>-26089</v>
      </c>
    </row>
    <row r="45" ht="15" customHeight="1" s="57">
      <c r="B45" s="90" t="inlineStr">
        <is>
          <t>Sale of non-current investments</t>
        </is>
      </c>
      <c r="C45" s="87" t="n">
        <v>0</v>
      </c>
      <c r="D45" s="87" t="n">
        <v>3750</v>
      </c>
    </row>
    <row r="46" ht="15" customHeight="1" s="57">
      <c r="B46" s="90" t="inlineStr">
        <is>
          <t>Investment in Government securities</t>
        </is>
      </c>
      <c r="C46" s="87" t="n">
        <v>-5652</v>
      </c>
      <c r="D46" s="87" t="n">
        <v>-4881</v>
      </c>
    </row>
    <row r="47" ht="15" customHeight="1" s="57">
      <c r="B47" s="90" t="inlineStr">
        <is>
          <t>Investment in debentures or bonds</t>
        </is>
      </c>
      <c r="C47" s="87" t="n">
        <v>-500</v>
      </c>
      <c r="D47" s="87" t="n">
        <v>0</v>
      </c>
    </row>
    <row r="48" ht="15" customHeight="1" s="57">
      <c r="B48" s="90" t="inlineStr">
        <is>
          <t>Consideration for acquisition of warehousing division</t>
        </is>
      </c>
      <c r="C48" s="87" t="n">
        <v>-607</v>
      </c>
      <c r="D48" s="87" t="n">
        <v>0</v>
      </c>
    </row>
    <row r="49" ht="15" customHeight="1" s="57">
      <c r="B49" s="90" t="inlineStr">
        <is>
          <t>Loan given</t>
        </is>
      </c>
      <c r="C49" s="87" t="n">
        <v>-7504</v>
      </c>
      <c r="D49" s="87" t="n">
        <v>-3750</v>
      </c>
    </row>
    <row r="50" ht="15" customHeight="1" s="57">
      <c r="B50" s="90" t="inlineStr">
        <is>
          <t>Interest received</t>
        </is>
      </c>
      <c r="C50" s="87" t="n">
        <v>4904</v>
      </c>
      <c r="D50" s="87" t="n">
        <v>1126</v>
      </c>
    </row>
    <row r="51" ht="15" customHeight="1" s="57">
      <c r="B51" s="90" t="inlineStr">
        <is>
          <t>Acquisition of NCI</t>
        </is>
      </c>
      <c r="C51" s="87" t="n">
        <v>0</v>
      </c>
      <c r="D51" s="87" t="n">
        <v>-209</v>
      </c>
    </row>
    <row r="52" ht="21.75" customHeight="1" s="57">
      <c r="B52" s="99" t="inlineStr">
        <is>
          <t>Net cash from/(used in) investing activities</t>
        </is>
      </c>
      <c r="C52" s="100">
        <f>SUM(C38:C51)</f>
        <v/>
      </c>
      <c r="D52" s="100">
        <f>SUM(D38:D51)</f>
        <v/>
      </c>
    </row>
    <row r="53" ht="7.5" customHeight="1" s="57"/>
    <row r="54" ht="24.75" customHeight="1" s="57">
      <c r="B54" s="74" t="inlineStr">
        <is>
          <t>CASH FLOW FROM FINANCING ACTIVITIES</t>
        </is>
      </c>
    </row>
    <row r="55" ht="15" customHeight="1" s="57">
      <c r="B55" s="90" t="inlineStr">
        <is>
          <t>Proceeds from issue of equity shares</t>
        </is>
      </c>
      <c r="C55" s="87" t="n">
        <v>40</v>
      </c>
      <c r="D55" s="87" t="n">
        <v>90000</v>
      </c>
    </row>
    <row r="56" ht="15" customHeight="1" s="57">
      <c r="B56" s="90" t="inlineStr">
        <is>
          <t>Loan repaid</t>
        </is>
      </c>
      <c r="C56" s="87" t="n">
        <v>-231</v>
      </c>
      <c r="D56" s="87" t="n">
        <v>-13</v>
      </c>
    </row>
    <row r="57" ht="15" customHeight="1" s="57">
      <c r="B57" s="90" t="inlineStr">
        <is>
          <t>Transaction cost on issue of shares</t>
        </is>
      </c>
      <c r="C57" s="87" t="n">
        <v>0</v>
      </c>
      <c r="D57" s="87" t="n">
        <v>-2257</v>
      </c>
    </row>
    <row r="58" ht="15" customHeight="1" s="57">
      <c r="B58" s="90" t="inlineStr">
        <is>
          <t>Share-based payment on cancellation</t>
        </is>
      </c>
      <c r="C58" s="87" t="n">
        <v>-2</v>
      </c>
      <c r="D58" s="87" t="n">
        <v>-6</v>
      </c>
    </row>
    <row r="59" ht="15" customHeight="1" s="57">
      <c r="B59" s="90" t="inlineStr">
        <is>
          <t>ESOP Trust amount collected</t>
        </is>
      </c>
      <c r="C59" s="87" t="n">
        <v>67</v>
      </c>
      <c r="D59" s="87" t="n">
        <v>79</v>
      </c>
    </row>
    <row r="60" ht="15" customHeight="1" s="57">
      <c r="B60" s="90" t="inlineStr">
        <is>
          <t>Payment of principal portion of lease liabilities</t>
        </is>
      </c>
      <c r="C60" s="87" t="n">
        <v>-653</v>
      </c>
      <c r="D60" s="87" t="n">
        <v>-203</v>
      </c>
    </row>
    <row r="61" ht="15" customHeight="1" s="57">
      <c r="B61" s="90" t="inlineStr">
        <is>
          <t>Payment of interest portion of lease liabilities</t>
        </is>
      </c>
      <c r="C61" s="87" t="n">
        <v>-402</v>
      </c>
      <c r="D61" s="87" t="n">
        <v>-85</v>
      </c>
    </row>
    <row r="62" ht="15" customHeight="1" s="57">
      <c r="B62" s="90" t="inlineStr">
        <is>
          <t>Interest expense</t>
        </is>
      </c>
      <c r="C62" s="87" t="n">
        <v>-93</v>
      </c>
      <c r="D62" s="87" t="n">
        <v>-7</v>
      </c>
    </row>
    <row r="63" ht="21.75" customHeight="1" s="57">
      <c r="B63" s="99" t="inlineStr">
        <is>
          <t>Net cash from/(used in) financing activities</t>
        </is>
      </c>
      <c r="C63" s="100">
        <f>SUM(C55:C62)</f>
        <v/>
      </c>
      <c r="D63" s="100">
        <f>SUM(D55:D62)</f>
        <v/>
      </c>
    </row>
    <row r="64" ht="7.5" customHeight="1" s="57"/>
    <row r="65" ht="15" customHeight="1" s="57">
      <c r="B65" s="88" t="inlineStr">
        <is>
          <t>Net increase/(decrease) in cash</t>
        </is>
      </c>
      <c r="C65" s="89">
        <f>C35+C52+C63</f>
        <v/>
      </c>
      <c r="D65" s="89">
        <f>D35+D52+D63</f>
        <v/>
      </c>
    </row>
    <row r="66" ht="15" customHeight="1" s="57">
      <c r="B66" s="90" t="inlineStr">
        <is>
          <t>Cash acquired through business combination</t>
        </is>
      </c>
      <c r="C66" s="87" t="n">
        <v>3390</v>
      </c>
      <c r="D66" s="87" t="n">
        <v>0</v>
      </c>
    </row>
    <row r="67" ht="15" customHeight="1" s="57">
      <c r="B67" s="90" t="inlineStr">
        <is>
          <t>Cash transferred due to sale of subsidiary</t>
        </is>
      </c>
      <c r="C67" s="87" t="n">
        <v>0</v>
      </c>
      <c r="D67" s="87" t="n">
        <v>-55</v>
      </c>
    </row>
    <row r="68" ht="15" customHeight="1" s="57">
      <c r="B68" s="90" t="inlineStr">
        <is>
          <t>Net foreign exchange difference</t>
        </is>
      </c>
      <c r="C68" s="87" t="n">
        <v>9</v>
      </c>
      <c r="D68" s="87" t="n">
        <v>6</v>
      </c>
    </row>
    <row r="69" ht="15" customHeight="1" s="57">
      <c r="B69" s="90" t="inlineStr">
        <is>
          <t>Foreign exchange impact</t>
        </is>
      </c>
      <c r="C69" s="87" t="n">
        <v>0</v>
      </c>
      <c r="D69" s="87" t="n">
        <v>-283</v>
      </c>
    </row>
    <row r="70" ht="15" customHeight="1" s="57">
      <c r="B70" s="90" t="inlineStr">
        <is>
          <t>Cash and cash equivalents at beginning</t>
        </is>
      </c>
      <c r="C70" s="87" t="n">
        <v>3923</v>
      </c>
      <c r="D70" s="87" t="n">
        <v>3065</v>
      </c>
    </row>
    <row r="71" ht="21.75" customHeight="1" s="57">
      <c r="B71" s="93" t="inlineStr">
        <is>
          <t>Cash and cash equivalents at end</t>
        </is>
      </c>
      <c r="C71" s="94">
        <f>C65+C66+C67+C68+C69+C70</f>
        <v/>
      </c>
      <c r="D71" s="94">
        <f>D65+D66+D67+D68+D69+D70</f>
        <v/>
      </c>
    </row>
    <row r="73" ht="15" customHeight="1" s="57">
      <c r="B73" s="95" t="inlineStr">
        <is>
          <t>Notes: All figures in INR million. Figures in brackets represent outflows/negative values.</t>
        </is>
      </c>
    </row>
    <row r="74" ht="15" customHeight="1" s="57">
      <c r="B74" s="95" t="inlineStr">
        <is>
          <t>Source: Zomato AR 2023, pages 144-146 (Consolidated Cash Flow Statement)</t>
        </is>
      </c>
    </row>
  </sheetData>
  <mergeCells count="5">
    <mergeCell ref="B3:D3"/>
    <mergeCell ref="B54:D54"/>
    <mergeCell ref="B37:D37"/>
    <mergeCell ref="B7:D7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F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45" customWidth="1" style="56" min="2" max="2"/>
    <col width="18" customWidth="1" style="56" min="3" max="4"/>
    <col width="16" customWidth="1" style="56" min="5" max="6"/>
    <col width="3" customWidth="1" style="56" min="7" max="7"/>
  </cols>
  <sheetData>
    <row r="2" ht="34.5" customHeight="1" s="57">
      <c r="B2" s="72" t="inlineStr">
        <is>
          <t>Zomato Limited - Other Expenses Detail</t>
        </is>
      </c>
    </row>
    <row r="3" ht="15" customHeight="1" s="57">
      <c r="B3" s="73" t="inlineStr">
        <is>
          <t>Note 29 - Other Expenses (FY2023 &amp; FY2022)</t>
        </is>
      </c>
    </row>
    <row r="4" ht="15" customHeight="1" s="57">
      <c r="B4" s="61" t="n"/>
      <c r="C4" s="61" t="n"/>
      <c r="D4" s="61" t="n"/>
      <c r="E4" s="61" t="n"/>
      <c r="F4" s="61" t="n"/>
    </row>
    <row r="6" ht="21.75" customHeight="1" s="57">
      <c r="B6" s="68" t="inlineStr">
        <is>
          <t>Expense Category</t>
        </is>
      </c>
      <c r="C6" s="63" t="inlineStr">
        <is>
          <t>FY2023 (INR Mn)</t>
        </is>
      </c>
      <c r="D6" s="63" t="inlineStr">
        <is>
          <t>FY2022 (INR Mn)</t>
        </is>
      </c>
      <c r="E6" s="63" t="inlineStr">
        <is>
          <t>YoY Change</t>
        </is>
      </c>
      <c r="F6" s="63" t="inlineStr">
        <is>
          <t>% of Total FY23</t>
        </is>
      </c>
    </row>
    <row r="7" ht="15" customHeight="1" s="57">
      <c r="B7" s="64" t="inlineStr">
        <is>
          <t>Advertising and promotional expenses</t>
        </is>
      </c>
      <c r="C7" s="87" t="n">
        <v>21945</v>
      </c>
      <c r="D7" s="87" t="n">
        <v>15628</v>
      </c>
      <c r="E7" s="77">
        <f>IF(D7=0,"N/A",ROUND((C7-D7)/D7*100,1)&amp;"%")</f>
        <v/>
      </c>
      <c r="F7" s="77">
        <f>IF($C$24=0,"-",ROUND(C7/$C$24*100,1)&amp;"%")</f>
        <v/>
      </c>
    </row>
    <row r="8" ht="15" customHeight="1" s="57">
      <c r="B8" s="81" t="inlineStr">
        <is>
          <t>Payment to delivery partners</t>
        </is>
      </c>
      <c r="C8" s="101" t="n">
        <v>18839</v>
      </c>
      <c r="D8" s="101" t="n">
        <v>13236</v>
      </c>
      <c r="E8" s="80">
        <f>IF(D8=0,"N/A",ROUND((C8-D8)/D8*100,1)&amp;"%")</f>
        <v/>
      </c>
      <c r="F8" s="80">
        <f>IF($C$24=0,"-",ROUND(C8/$C$24*100,1)&amp;"%")</f>
        <v/>
      </c>
    </row>
    <row r="9" ht="15" customHeight="1" s="57">
      <c r="B9" s="64" t="inlineStr">
        <is>
          <t>Other operating expenses</t>
        </is>
      </c>
      <c r="C9" s="87" t="n">
        <v>6397</v>
      </c>
      <c r="D9" s="87" t="n">
        <v>5086</v>
      </c>
      <c r="E9" s="77">
        <f>IF(D9=0,"N/A",ROUND((C9-D9)/D9*100,1)&amp;"%")</f>
        <v/>
      </c>
      <c r="F9" s="77">
        <f>IF($C$24=0,"-",ROUND(C9/$C$24*100,1)&amp;"%")</f>
        <v/>
      </c>
    </row>
    <row r="10" ht="15" customHeight="1" s="57">
      <c r="B10" s="81" t="inlineStr">
        <is>
          <t>Rent (including lease payments)</t>
        </is>
      </c>
      <c r="C10" s="101" t="n">
        <v>996</v>
      </c>
      <c r="D10" s="101" t="n">
        <v>517</v>
      </c>
      <c r="E10" s="80">
        <f>IF(D10=0,"N/A",ROUND((C10-D10)/D10*100,1)&amp;"%")</f>
        <v/>
      </c>
      <c r="F10" s="80">
        <f>IF($C$24=0,"-",ROUND(C10/$C$24*100,1)&amp;"%")</f>
        <v/>
      </c>
    </row>
    <row r="11" ht="15" customHeight="1" s="57">
      <c r="B11" s="64" t="inlineStr">
        <is>
          <t>Miscellaneous expenses</t>
        </is>
      </c>
      <c r="C11" s="87" t="n">
        <v>2441</v>
      </c>
      <c r="D11" s="87" t="n">
        <v>1820</v>
      </c>
      <c r="E11" s="77">
        <f>IF(D11=0,"N/A",ROUND((C11-D11)/D11*100,1)&amp;"%")</f>
        <v/>
      </c>
      <c r="F11" s="77">
        <f>IF($C$24=0,"-",ROUND(C11/$C$24*100,1)&amp;"%")</f>
        <v/>
      </c>
    </row>
    <row r="12" ht="15" customHeight="1" s="57">
      <c r="B12" s="81" t="inlineStr">
        <is>
          <t>Legal and professional fees</t>
        </is>
      </c>
      <c r="C12" s="101" t="n">
        <v>1109</v>
      </c>
      <c r="D12" s="101" t="n">
        <v>1456</v>
      </c>
      <c r="E12" s="80">
        <f>IF(D12=0,"N/A",ROUND((C12-D12)/D12*100,1)&amp;"%")</f>
        <v/>
      </c>
      <c r="F12" s="80">
        <f>IF($C$24=0,"-",ROUND(C12/$C$24*100,1)&amp;"%")</f>
        <v/>
      </c>
    </row>
    <row r="13" ht="15" customHeight="1" s="57">
      <c r="B13" s="64" t="inlineStr">
        <is>
          <t>Rates and taxes</t>
        </is>
      </c>
      <c r="C13" s="87" t="n">
        <v>354</v>
      </c>
      <c r="D13" s="87" t="n">
        <v>184</v>
      </c>
      <c r="E13" s="77">
        <f>IF(D13=0,"N/A",ROUND((C13-D13)/D13*100,1)&amp;"%")</f>
        <v/>
      </c>
      <c r="F13" s="77">
        <f>IF($C$24=0,"-",ROUND(C13/$C$24*100,1)&amp;"%")</f>
        <v/>
      </c>
    </row>
    <row r="14" ht="15" customHeight="1" s="57">
      <c r="B14" s="81" t="inlineStr">
        <is>
          <t>Travelling and conveyance</t>
        </is>
      </c>
      <c r="C14" s="101" t="n">
        <v>389</v>
      </c>
      <c r="D14" s="101" t="n">
        <v>97</v>
      </c>
      <c r="E14" s="80">
        <f>IF(D14=0,"N/A",ROUND((C14-D14)/D14*100,1)&amp;"%")</f>
        <v/>
      </c>
      <c r="F14" s="80">
        <f>IF($C$24=0,"-",ROUND(C14/$C$24*100,1)&amp;"%")</f>
        <v/>
      </c>
    </row>
    <row r="15" ht="15" customHeight="1" s="57">
      <c r="B15" s="64" t="inlineStr">
        <is>
          <t>Repairs and maintenance</t>
        </is>
      </c>
      <c r="C15" s="87" t="n">
        <v>261</v>
      </c>
      <c r="D15" s="87" t="n">
        <v>104</v>
      </c>
      <c r="E15" s="77">
        <f>IF(D15=0,"N/A",ROUND((C15-D15)/D15*100,1)&amp;"%")</f>
        <v/>
      </c>
      <c r="F15" s="77">
        <f>IF($C$24=0,"-",ROUND(C15/$C$24*100,1)&amp;"%")</f>
        <v/>
      </c>
    </row>
    <row r="16" ht="15" customHeight="1" s="57">
      <c r="B16" s="81" t="inlineStr">
        <is>
          <t>CSR expenditure</t>
        </is>
      </c>
      <c r="C16" s="101" t="n">
        <v>109</v>
      </c>
      <c r="D16" s="101" t="n">
        <v>76</v>
      </c>
      <c r="E16" s="80">
        <f>IF(D16=0,"N/A",ROUND((C16-D16)/D16*100,1)&amp;"%")</f>
        <v/>
      </c>
      <c r="F16" s="80">
        <f>IF($C$24=0,"-",ROUND(C16/$C$24*100,1)&amp;"%")</f>
        <v/>
      </c>
    </row>
    <row r="17" ht="15" customHeight="1" s="57">
      <c r="B17" s="64" t="inlineStr">
        <is>
          <t>Provision for doubtful debts</t>
        </is>
      </c>
      <c r="C17" s="87" t="n">
        <v>304</v>
      </c>
      <c r="D17" s="87" t="n">
        <v>208</v>
      </c>
      <c r="E17" s="77">
        <f>IF(D17=0,"N/A",ROUND((C17-D17)/D17*100,1)&amp;"%")</f>
        <v/>
      </c>
      <c r="F17" s="77">
        <f>IF($C$24=0,"-",ROUND(C17/$C$24*100,1)&amp;"%")</f>
        <v/>
      </c>
    </row>
    <row r="18" ht="15" customHeight="1" s="57">
      <c r="B18" s="81" t="inlineStr">
        <is>
          <t>Power and fuel</t>
        </is>
      </c>
      <c r="C18" s="101" t="n">
        <v>128</v>
      </c>
      <c r="D18" s="101" t="n">
        <v>60</v>
      </c>
      <c r="E18" s="80">
        <f>IF(D18=0,"N/A",ROUND((C18-D18)/D18*100,1)&amp;"%")</f>
        <v/>
      </c>
      <c r="F18" s="80">
        <f>IF($C$24=0,"-",ROUND(C18/$C$24*100,1)&amp;"%")</f>
        <v/>
      </c>
    </row>
    <row r="19" ht="15" customHeight="1" s="57">
      <c r="B19" s="64" t="inlineStr">
        <is>
          <t>Communication expenses</t>
        </is>
      </c>
      <c r="C19" s="87" t="n">
        <v>72</v>
      </c>
      <c r="D19" s="87" t="n">
        <v>73</v>
      </c>
      <c r="E19" s="77">
        <f>IF(D19=0,"N/A",ROUND((C19-D19)/D19*100,1)&amp;"%")</f>
        <v/>
      </c>
      <c r="F19" s="77">
        <f>IF($C$24=0,"-",ROUND(C19/$C$24*100,1)&amp;"%")</f>
        <v/>
      </c>
    </row>
    <row r="20" ht="15" customHeight="1" s="57">
      <c r="B20" s="81" t="inlineStr">
        <is>
          <t>Loss on sale/discard of PPE</t>
        </is>
      </c>
      <c r="C20" s="101" t="n">
        <v>0</v>
      </c>
      <c r="D20" s="101" t="n">
        <v>3</v>
      </c>
      <c r="E20" s="80">
        <f>IF(D20=0,"N/A",ROUND((C20-D20)/D20*100,1)&amp;"%")</f>
        <v/>
      </c>
      <c r="F20" s="80">
        <f>IF($C$24=0,"-",ROUND(C20/$C$24*100,1)&amp;"%")</f>
        <v/>
      </c>
    </row>
    <row r="21" ht="15" customHeight="1" s="57">
      <c r="B21" s="64" t="inlineStr">
        <is>
          <t>Net gain on disposal of investment</t>
        </is>
      </c>
      <c r="C21" s="87" t="n">
        <v>-1</v>
      </c>
      <c r="D21" s="87" t="n">
        <v>-3227</v>
      </c>
      <c r="E21" s="77">
        <f>IF(D21=0,"N/A",ROUND((C21-D21)/D21*100,1)&amp;"%")</f>
        <v/>
      </c>
      <c r="F21" s="77">
        <f>IF($C$24=0,"-",ROUND(C21/$C$24*100,1)&amp;"%")</f>
        <v/>
      </c>
    </row>
    <row r="22" ht="15" customHeight="1" s="57">
      <c r="B22" s="81" t="inlineStr">
        <is>
          <t>Net loss on mutual funds</t>
        </is>
      </c>
      <c r="C22" s="101" t="n">
        <v>7</v>
      </c>
      <c r="D22" s="101" t="n">
        <v>0</v>
      </c>
      <c r="E22" s="80">
        <f>IF(D22=0,"N/A",ROUND((C22-D22)/D22*100,1)&amp;"%")</f>
        <v/>
      </c>
      <c r="F22" s="80">
        <f>IF($C$24=0,"-",ROUND(C22/$C$24*100,1)&amp;"%")</f>
        <v/>
      </c>
    </row>
    <row r="23" ht="15" customHeight="1" s="57">
      <c r="B23" s="64" t="inlineStr">
        <is>
          <t>Directors sitting fees</t>
        </is>
      </c>
      <c r="C23" s="87" t="n">
        <v>4</v>
      </c>
      <c r="D23" s="87" t="n">
        <v>4</v>
      </c>
      <c r="E23" s="77">
        <f>IF(D23=0,"N/A",ROUND((C23-D23)/D23*100,1)&amp;"%")</f>
        <v/>
      </c>
      <c r="F23" s="77">
        <f>IF($C$24=0,"-",ROUND(C23/$C$24*100,1)&amp;"%")</f>
        <v/>
      </c>
    </row>
    <row r="24" ht="15" customHeight="1" s="57">
      <c r="B24" s="102" t="inlineStr">
        <is>
          <t>Total Other Expenses</t>
        </is>
      </c>
      <c r="C24" s="103">
        <f>SUM(C7:C23)</f>
        <v/>
      </c>
      <c r="D24" s="103">
        <f>SUM(D7:D23)</f>
        <v/>
      </c>
      <c r="E24" s="104">
        <f>IF(D24=0,"N/A",ROUND((C24-D24)/D24*100,1)&amp;"%")</f>
        <v/>
      </c>
      <c r="F24" s="105" t="inlineStr">
        <is>
          <t>100.0%</t>
        </is>
      </c>
    </row>
    <row r="26" ht="15" customHeight="1" s="57">
      <c r="B26" s="71" t="inlineStr">
        <is>
          <t>Notes: Figures in brackets represent gains. All figures in INR million.</t>
        </is>
      </c>
    </row>
    <row r="27" ht="15" customHeight="1" s="57">
      <c r="B27" s="71" t="inlineStr">
        <is>
          <t>Source: Zomato AR 2023, page 196 (Note 29 - Other expenses to the consolidated financial statements)</t>
        </is>
      </c>
    </row>
  </sheetData>
  <mergeCells count="4">
    <mergeCell ref="B2:F2"/>
    <mergeCell ref="B26:F26"/>
    <mergeCell ref="B27:F27"/>
    <mergeCell ref="B3:F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46"/>
  <sheetViews>
    <sheetView showGridLines="0" workbookViewId="0">
      <selection activeCell="A1" sqref="A1"/>
    </sheetView>
  </sheetViews>
  <sheetFormatPr baseColWidth="8" defaultRowHeight="15"/>
  <cols>
    <col width="3" customWidth="1" style="57" min="1" max="1"/>
    <col width="42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3" customWidth="1" style="57" min="8" max="8"/>
  </cols>
  <sheetData>
    <row r="2" ht="35" customHeight="1" s="57">
      <c r="B2" s="106" t="inlineStr">
        <is>
          <t>Zomato Limited - Food Delivery Detailed Metrics</t>
        </is>
      </c>
    </row>
    <row r="3">
      <c r="B3" s="107" t="inlineStr">
        <is>
          <t>FY21 - FY23 Operational &amp; Financial KPIs</t>
        </is>
      </c>
    </row>
    <row r="4">
      <c r="B4" s="108" t="n"/>
      <c r="C4" s="108" t="n"/>
      <c r="D4" s="108" t="n"/>
      <c r="E4" s="108" t="n"/>
      <c r="F4" s="108" t="n"/>
      <c r="G4" s="108" t="n"/>
    </row>
    <row r="6" ht="22" customHeight="1" s="57">
      <c r="B6" s="109" t="inlineStr">
        <is>
          <t>Metric</t>
        </is>
      </c>
      <c r="C6" s="110" t="inlineStr">
        <is>
          <t>FY21</t>
        </is>
      </c>
      <c r="D6" s="110" t="inlineStr">
        <is>
          <t>FY22</t>
        </is>
      </c>
      <c r="E6" s="110" t="inlineStr">
        <is>
          <t>FY23</t>
        </is>
      </c>
      <c r="F6" s="110" t="inlineStr">
        <is>
          <t>YoY FY23</t>
        </is>
      </c>
      <c r="G6" s="110" t="inlineStr">
        <is>
          <t>CAGR (FY21-FY23)</t>
        </is>
      </c>
    </row>
    <row r="8" ht="25" customHeight="1" s="57">
      <c r="B8" s="111" t="inlineStr">
        <is>
          <t>DEMAND METRICS</t>
        </is>
      </c>
      <c r="C8" s="112" t="n"/>
      <c r="D8" s="112" t="n"/>
      <c r="E8" s="112" t="n"/>
      <c r="F8" s="112" t="n"/>
      <c r="G8" s="112" t="n"/>
    </row>
    <row r="9">
      <c r="B9" s="113" t="inlineStr">
        <is>
          <t>GOV (INR Billion)</t>
        </is>
      </c>
      <c r="C9" s="114" t="n">
        <v>94.90000000000001</v>
      </c>
      <c r="D9" s="114" t="n">
        <v>213</v>
      </c>
      <c r="E9" s="114" t="n">
        <v>263.1</v>
      </c>
      <c r="F9" s="115">
        <f>ROUND((E9/D9-1)*100,1)&amp;"%"</f>
        <v/>
      </c>
      <c r="G9" s="115">
        <f>ROUND((E9/C9)^(1/2)-1,3)*100&amp;"%"</f>
        <v/>
      </c>
    </row>
    <row r="10">
      <c r="B10" s="116" t="inlineStr">
        <is>
          <t>Orders (Million)</t>
        </is>
      </c>
      <c r="C10" s="117" t="n">
        <v>238.9</v>
      </c>
      <c r="D10" s="117" t="n">
        <v>535.2</v>
      </c>
      <c r="E10" s="117" t="n">
        <v>647</v>
      </c>
      <c r="F10" s="118">
        <f>ROUND((E10/D10-1)*100,1)&amp;"%"</f>
        <v/>
      </c>
      <c r="G10" s="118">
        <f>ROUND((E10/C10)^(1/2)-1,3)*100&amp;"%"</f>
        <v/>
      </c>
    </row>
    <row r="11">
      <c r="B11" s="113" t="inlineStr">
        <is>
          <t>AOV (INR)</t>
        </is>
      </c>
      <c r="C11" s="114" t="n">
        <v>397</v>
      </c>
      <c r="D11" s="114" t="n">
        <v>398</v>
      </c>
      <c r="E11" s="114" t="n">
        <v>407</v>
      </c>
      <c r="F11" s="115">
        <f>ROUND((E11/D11-1)*100,1)&amp;"%"</f>
        <v/>
      </c>
      <c r="G11" s="115">
        <f>ROUND((E11/C11)^(1/2)-1,3)*100&amp;"%"</f>
        <v/>
      </c>
    </row>
    <row r="12">
      <c r="B12" s="116" t="inlineStr">
        <is>
          <t>Avg Monthly Transacting Customers (Mn)</t>
        </is>
      </c>
      <c r="C12" s="117" t="n">
        <v>6.8</v>
      </c>
      <c r="D12" s="117" t="n">
        <v>14.7</v>
      </c>
      <c r="E12" s="117" t="n">
        <v>17</v>
      </c>
      <c r="F12" s="118">
        <f>ROUND((E12/D12-1)*100,1)&amp;"%"</f>
        <v/>
      </c>
      <c r="G12" s="118">
        <f>ROUND((E12/C12)^(1/2)-1,3)*100&amp;"%"</f>
        <v/>
      </c>
    </row>
    <row r="13">
      <c r="B13" s="113" t="inlineStr">
        <is>
          <t>Annual Transacting Customers (Mn)</t>
        </is>
      </c>
      <c r="C13" s="114" t="n">
        <v>28</v>
      </c>
      <c r="D13" s="114" t="n">
        <v>53</v>
      </c>
      <c r="E13" s="114" t="n">
        <v>58</v>
      </c>
      <c r="F13" s="115">
        <f>ROUND((E13/D13-1)*100,1)&amp;"%"</f>
        <v/>
      </c>
      <c r="G13" s="115">
        <f>ROUND((E13/C13)^(1/2)-1,3)*100&amp;"%"</f>
        <v/>
      </c>
    </row>
    <row r="15" ht="25" customHeight="1" s="57">
      <c r="B15" s="111" t="inlineStr">
        <is>
          <t>SUPPLY METRICS</t>
        </is>
      </c>
      <c r="C15" s="112" t="n"/>
      <c r="D15" s="112" t="n"/>
      <c r="E15" s="112" t="n"/>
      <c r="F15" s="112" t="n"/>
      <c r="G15" s="112" t="n"/>
    </row>
    <row r="16">
      <c r="B16" s="113" t="inlineStr">
        <is>
          <t>Avg Monthly Active Restaurant Partners ('000)</t>
        </is>
      </c>
      <c r="C16" s="114" t="n">
        <v>110</v>
      </c>
      <c r="D16" s="114" t="n">
        <v>180</v>
      </c>
      <c r="E16" s="114" t="n">
        <v>210</v>
      </c>
      <c r="F16" s="115">
        <f>ROUND((E16/D16-1)*100,1)&amp;"%"</f>
        <v/>
      </c>
      <c r="G16" s="115">
        <f>ROUND((E16/C16)^(1/2)-1,3)*100&amp;"%"</f>
        <v/>
      </c>
    </row>
    <row r="17">
      <c r="B17" s="116" t="inlineStr">
        <is>
          <t>Avg Monthly Active Delivery Partners ('000)</t>
        </is>
      </c>
      <c r="C17" s="117" t="n">
        <v>120</v>
      </c>
      <c r="D17" s="117" t="n">
        <v>285</v>
      </c>
      <c r="E17" s="117" t="n">
        <v>326</v>
      </c>
      <c r="F17" s="118">
        <f>ROUND((E17/D17-1)*100,1)&amp;"%"</f>
        <v/>
      </c>
      <c r="G17" s="118">
        <f>ROUND((E17/C17)^(1/2)-1,3)*100&amp;"%"</f>
        <v/>
      </c>
    </row>
    <row r="19" ht="25" customHeight="1" s="57">
      <c r="B19" s="111" t="inlineStr">
        <is>
          <t>FINANCIAL METRICS</t>
        </is>
      </c>
      <c r="C19" s="112" t="n"/>
      <c r="D19" s="112" t="n"/>
      <c r="E19" s="112" t="n"/>
      <c r="F19" s="112" t="n"/>
      <c r="G19" s="112" t="n"/>
    </row>
    <row r="20">
      <c r="B20" s="116" t="inlineStr">
        <is>
          <t>Adjusted Revenue (INR Billion)</t>
        </is>
      </c>
      <c r="C20" s="117" t="n">
        <v>21.6</v>
      </c>
      <c r="D20" s="117" t="n">
        <v>47.6</v>
      </c>
      <c r="E20" s="117" t="n">
        <v>61.5</v>
      </c>
      <c r="F20" s="118">
        <f>ROUND((E20/D20-1)*100,1)&amp;"%"</f>
        <v/>
      </c>
      <c r="G20" s="118">
        <f>ROUND((E20/C20)^(1/2)-1,3)*100&amp;"%"</f>
        <v/>
      </c>
    </row>
    <row r="21">
      <c r="B21" s="113" t="inlineStr">
        <is>
          <t>Take Rate (% of GOV)</t>
        </is>
      </c>
      <c r="C21" s="115">
        <f>IF(C9=0,"-",ROUND(C20/C9*100,1)&amp;"%")</f>
        <v/>
      </c>
      <c r="D21" s="115">
        <f>IF(D9=0,"-",ROUND(D20/D9*100,1)&amp;"%")</f>
        <v/>
      </c>
      <c r="E21" s="115">
        <f>IF(E9=0,"-",ROUND(E20/E9*100,1)&amp;"%")</f>
        <v/>
      </c>
      <c r="G21" s="119" t="inlineStr"/>
    </row>
    <row r="22">
      <c r="B22" s="116" t="inlineStr">
        <is>
          <t>Contribution (INR Billion)</t>
        </is>
      </c>
      <c r="C22" s="120" t="inlineStr">
        <is>
          <t>NM</t>
        </is>
      </c>
      <c r="D22" s="117" t="n">
        <v>3.5</v>
      </c>
      <c r="E22" s="117" t="n">
        <v>12</v>
      </c>
      <c r="F22" s="118">
        <f>ROUND((E22-D22)/D22*100,0)&amp;"%"</f>
        <v/>
      </c>
      <c r="G22" s="118" t="inlineStr">
        <is>
          <t>NM</t>
        </is>
      </c>
    </row>
    <row r="23">
      <c r="B23" s="113" t="inlineStr">
        <is>
          <t>Contribution Margin (% of GOV)</t>
        </is>
      </c>
      <c r="C23" s="114" t="inlineStr">
        <is>
          <t>5.2%</t>
        </is>
      </c>
      <c r="D23" s="115">
        <f>IF(D9=0,"-",ROUND(D22/D9*100,1)&amp;"%")</f>
        <v/>
      </c>
      <c r="E23" s="115">
        <f>IF(E9=0,"-",ROUND(E22/E9*100,1)&amp;"%")</f>
        <v/>
      </c>
      <c r="F23" s="115" t="inlineStr">
        <is>
          <t>2.8pp</t>
        </is>
      </c>
      <c r="G23" s="115" t="inlineStr">
        <is>
          <t>NM</t>
        </is>
      </c>
    </row>
    <row r="24">
      <c r="B24" s="116" t="inlineStr">
        <is>
          <t>Adjusted EBITDA (INR Billion)</t>
        </is>
      </c>
      <c r="C24" s="121" t="n">
        <v>-1.7</v>
      </c>
      <c r="D24" s="121" t="n">
        <v>-7.7</v>
      </c>
      <c r="E24" s="121" t="n">
        <v>-0.1</v>
      </c>
      <c r="F24" s="118" t="inlineStr">
        <is>
          <t>NM</t>
        </is>
      </c>
      <c r="G24" s="118" t="inlineStr">
        <is>
          <t>NM</t>
        </is>
      </c>
    </row>
    <row r="25">
      <c r="B25" s="113" t="inlineStr">
        <is>
          <t>Adjusted EBITDA Margin (% of GOV)</t>
        </is>
      </c>
      <c r="C25" s="114" t="inlineStr">
        <is>
          <t>-1.8%</t>
        </is>
      </c>
      <c r="D25" s="114" t="inlineStr">
        <is>
          <t>-3.6%</t>
        </is>
      </c>
      <c r="E25" s="114" t="inlineStr">
        <is>
          <t>0.0%</t>
        </is>
      </c>
      <c r="F25" s="115" t="inlineStr">
        <is>
          <t>3.6pp</t>
        </is>
      </c>
      <c r="G25" s="115" t="inlineStr">
        <is>
          <t>NM</t>
        </is>
      </c>
    </row>
    <row r="27">
      <c r="B27" s="122" t="inlineStr">
        <is>
          <t>Notes: GOV = Gross Order Value | AOV = Average Order Value | Take Rate = Adjusted Revenue / GOV</t>
        </is>
      </c>
    </row>
    <row r="28">
      <c r="B28" s="122" t="inlineStr">
        <is>
          <t>pp = percentage points | NM = Not Meaningful (base year negative or zero). Contribution = GOV - variable costs</t>
        </is>
      </c>
    </row>
    <row r="29">
      <c r="B29" s="122" t="inlineStr">
        <is>
          <t>Sources: Zomato AR 2023, pages 12-17 (Company Overview: Operational and financial highlights)</t>
        </is>
      </c>
    </row>
    <row r="44">
      <c r="B44" t="inlineStr">
        <is>
          <t>Metric</t>
        </is>
      </c>
      <c r="C44" t="inlineStr">
        <is>
          <t>FY21</t>
        </is>
      </c>
      <c r="D44" t="inlineStr">
        <is>
          <t>FY22</t>
        </is>
      </c>
      <c r="E44" t="inlineStr">
        <is>
          <t>FY23</t>
        </is>
      </c>
    </row>
    <row r="45">
      <c r="B45" t="inlineStr">
        <is>
          <t>Contribution Margin</t>
        </is>
      </c>
      <c r="C45" t="n">
        <v>5.2</v>
      </c>
      <c r="D45" t="n">
        <v>1.7</v>
      </c>
      <c r="E45" t="n">
        <v>4.5</v>
      </c>
    </row>
    <row r="46">
      <c r="B46" t="inlineStr">
        <is>
          <t>Adj EBITDA Margin</t>
        </is>
      </c>
      <c r="C46" t="n">
        <v>-1.8</v>
      </c>
      <c r="D46" t="n">
        <v>-3.6</v>
      </c>
      <c r="E46" t="n">
        <v>0</v>
      </c>
    </row>
  </sheetData>
  <mergeCells count="8">
    <mergeCell ref="B3:G3"/>
    <mergeCell ref="B2:G2"/>
    <mergeCell ref="B19:G19"/>
    <mergeCell ref="B28:G28"/>
    <mergeCell ref="B27:G27"/>
    <mergeCell ref="B8:G8"/>
    <mergeCell ref="B29:G29"/>
    <mergeCell ref="B15:G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2026-07-01T03:44:16Z</dcterms:created>
  <dcterms:modified xmlns:dcterms="http://purl.org/dc/terms/" xmlns:xsi="http://www.w3.org/2001/XMLSchema-instance" xsi:type="dcterms:W3CDTF">2026-07-01T03:55:58Z</dcterms:modified>
  <cp:revision>6</cp:revision>
</cp:coreProperties>
</file>