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2"/>
    <sheet name="Key Operational Metrics" sheetId="2" state="visible" r:id="rId3"/>
    <sheet name="Segment Financials" sheetId="3" state="visible" r:id="rId4"/>
    <sheet name="Income Statement" sheetId="4" state="visible" r:id="rId5"/>
    <sheet name="Balance Sheet" sheetId="5" state="visible" r:id="rId6"/>
    <sheet name="Cash Flow Statement" sheetId="6" state="visible" r:id="rId7"/>
    <sheet name="Other Expenses Detail" sheetId="7" state="visible" r:id="rId8"/>
    <sheet name="Food Delivery Metrics" sheetId="8" state="visible" r:id="rId9"/>
    <sheet name="Sources" sheetId="9"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<sst xmlns="http://schemas.openxmlformats.org/spreadsheetml/2006/main" count="468" uniqueCount="377">
  <si>
    <t xml:space="preserve">Zomato Limited (Etern Limited)</t>
  </si>
  <si>
    <t xml:space="preserve">Annual Report 2024 - Financial Data Extract &amp; Analysis Workbook</t>
  </si>
  <si>
    <t xml:space="preserve">Reporting Period:</t>
  </si>
  <si>
    <t xml:space="preserve">FY2024 (April 2023 - March 2024)</t>
  </si>
  <si>
    <t xml:space="preserve">Comparative Period:</t>
  </si>
  <si>
    <t xml:space="preserve">FY2023 (April 2022 - March 2023)</t>
  </si>
  <si>
    <t xml:space="preserve">Currency:</t>
  </si>
  <si>
    <t xml:space="preserve">INR Crores (unless otherwise stated)</t>
  </si>
  <si>
    <t xml:space="preserve">Source:</t>
  </si>
  <si>
    <t xml:space="preserve">Zomato Annual Report 2024 (Published July 2024)</t>
  </si>
  <si>
    <t xml:space="preserve">KEY METRICS SUMMARY</t>
  </si>
  <si>
    <t xml:space="preserve">Metric</t>
  </si>
  <si>
    <t xml:space="preserve">FY24</t>
  </si>
  <si>
    <t xml:space="preserve">FY23</t>
  </si>
  <si>
    <t xml:space="preserve">YoY Change</t>
  </si>
  <si>
    <t xml:space="preserve">YoY %</t>
  </si>
  <si>
    <t xml:space="preserve">Total Revenue (INR Cr)</t>
  </si>
  <si>
    <t xml:space="preserve">Adjusted Revenue - All Businesses (INR Cr)</t>
  </si>
  <si>
    <t xml:space="preserve">Profit/(Loss) After Tax (INR Cr)</t>
  </si>
  <si>
    <t xml:space="preserve">Total B2C GOV (INR Cr)</t>
  </si>
  <si>
    <t xml:space="preserve">Food Delivery GOV (INR Cr)</t>
  </si>
  <si>
    <t xml:space="preserve">Quick Commerce GOV (INR Cr)</t>
  </si>
  <si>
    <t xml:space="preserve">Food Delivery Orders (Mn)</t>
  </si>
  <si>
    <t xml:space="preserve">Quick Commerce Orders (Mn)</t>
  </si>
  <si>
    <t xml:space="preserve">Monthly Transacting Users - Food (Mn)</t>
  </si>
  <si>
    <t xml:space="preserve">Total Assets (INR Cr)</t>
  </si>
  <si>
    <t xml:space="preserve">Cash &amp; Cash Equivalents (INR Cr)</t>
  </si>
  <si>
    <t xml:space="preserve">SHEET INDEX</t>
  </si>
  <si>
    <t xml:space="preserve">Sheet Name</t>
  </si>
  <si>
    <t xml:space="preserve">Description</t>
  </si>
  <si>
    <t xml:space="preserve">Data Type</t>
  </si>
  <si>
    <t xml:space="preserve">Period Covered</t>
  </si>
  <si>
    <t xml:space="preserve">Key Operational Metrics</t>
  </si>
  <si>
    <t xml:space="preserve">Consolidated GOV, Orders, AOV, customers, partners across all B2C businesses</t>
  </si>
  <si>
    <t xml:space="preserve">Operational</t>
  </si>
  <si>
    <t xml:space="preserve">FY24 vs FY23</t>
  </si>
  <si>
    <t xml:space="preserve">Segment Financials</t>
  </si>
  <si>
    <t xml:space="preserve">Adjusted Revenue &amp; Adjusted EBITDA by business segment (Management reporting)</t>
  </si>
  <si>
    <t xml:space="preserve">Financial</t>
  </si>
  <si>
    <t xml:space="preserve">Income Statement</t>
  </si>
  <si>
    <t xml:space="preserve">Consolidated Profit &amp; Loss statement (Ind AS compliant)</t>
  </si>
  <si>
    <t xml:space="preserve">Balance Sheet</t>
  </si>
  <si>
    <t xml:space="preserve">Consolidated Balance Sheet - Assets, Equity &amp; Liabilities</t>
  </si>
  <si>
    <t xml:space="preserve">As at Mar 2024 vs Mar 2023</t>
  </si>
  <si>
    <t xml:space="preserve">Cash Flow Statement</t>
  </si>
  <si>
    <t xml:space="preserve">Consolidated Cash Flow - Operating, Investing, Financing activities</t>
  </si>
  <si>
    <t xml:space="preserve">Other Expenses Detail</t>
  </si>
  <si>
    <t xml:space="preserve">Detailed breakdown of Other Operating Expenses (Note 28)</t>
  </si>
  <si>
    <t xml:space="preserve">Food Delivery Metrics</t>
  </si>
  <si>
    <t xml:space="preserve">Detailed food delivery operational KPIs including contribution margin</t>
  </si>
  <si>
    <t xml:space="preserve">Sources</t>
  </si>
  <si>
    <t xml:space="preserve">Data citations and source references from Zomato Annual Report 2024</t>
  </si>
  <si>
    <t xml:space="preserve">Reference</t>
  </si>
  <si>
    <t xml:space="preserve">N/A</t>
  </si>
  <si>
    <t xml:space="preserve">Disclaimer: This workbook is prepared for educational and analytical purposes. All data is sourced from Zomato Limited's (Etern Limited) published Annual Report for FY2024.</t>
  </si>
  <si>
    <t xml:space="preserve">All B2C Businesses - Food Delivery, Quick Commerce, Going Out</t>
  </si>
  <si>
    <t xml:space="preserve">YoY Growth %</t>
  </si>
  <si>
    <t xml:space="preserve">GROSS ORDER VALUE (GOV) - INR CRORES</t>
  </si>
  <si>
    <t xml:space="preserve">Food Delivery GOV</t>
  </si>
  <si>
    <t xml:space="preserve">Quick Commerce GOV</t>
  </si>
  <si>
    <t xml:space="preserve">Going Out GOV</t>
  </si>
  <si>
    <t xml:space="preserve">Total B2C GOV</t>
  </si>
  <si>
    <t xml:space="preserve">ORDERS - MILLIONS</t>
  </si>
  <si>
    <t xml:space="preserve">Food Delivery Orders</t>
  </si>
  <si>
    <t xml:space="preserve">Quick Commerce Orders</t>
  </si>
  <si>
    <t xml:space="preserve">Going Out Orders</t>
  </si>
  <si>
    <t xml:space="preserve">Total B2C Orders</t>
  </si>
  <si>
    <t xml:space="preserve">AVERAGE ORDER VALUE (AOV) - INR</t>
  </si>
  <si>
    <t xml:space="preserve">Food Delivery AOV</t>
  </si>
  <si>
    <t xml:space="preserve">Quick Commerce AOV</t>
  </si>
  <si>
    <t xml:space="preserve">Going Out AOV</t>
  </si>
  <si>
    <t xml:space="preserve">Blended B2C AOV</t>
  </si>
  <si>
    <t xml:space="preserve">CUSTOMERS &amp; PARTNERS</t>
  </si>
  <si>
    <t xml:space="preserve">Avg Monthly Transacting Customers - Food (Mn)</t>
  </si>
  <si>
    <t xml:space="preserve">Avg Monthly Transacting Customers - Quick Commerce (Mn)</t>
  </si>
  <si>
    <t xml:space="preserve">Active Restaurant Partners - Food (000s)</t>
  </si>
  <si>
    <t xml:space="preserve">Active Delivery Partners - Food (000s)</t>
  </si>
  <si>
    <t xml:space="preserve">Active Zomato Gold Members (Mn)</t>
  </si>
  <si>
    <t xml:space="preserve">Quick Commerce Stores (#)</t>
  </si>
  <si>
    <t xml:space="preserve">QUICK COMMERCE SPECIFIC METRICS</t>
  </si>
  <si>
    <t xml:space="preserve">Avg GOV per Day per Store (INR '000)</t>
  </si>
  <si>
    <t xml:space="preserve">Warehousing Capacity (Mn sqft)</t>
  </si>
  <si>
    <t xml:space="preserve">Source: Zomato Annual Report 2024, Business Overview Section (Pages 5-8)</t>
  </si>
  <si>
    <t xml:space="preserve">Segment Financials - Management Reporting Basis</t>
  </si>
  <si>
    <t xml:space="preserve">Adjusted Revenue &amp; Adjusted EBITDA by Business Segment</t>
  </si>
  <si>
    <t xml:space="preserve">Segment</t>
  </si>
  <si>
    <t xml:space="preserve">FY24 (INR Cr)</t>
  </si>
  <si>
    <t xml:space="preserve">FY23 (INR Cr)</t>
  </si>
  <si>
    <t xml:space="preserve">ADJUSTED REVENUE</t>
  </si>
  <si>
    <t xml:space="preserve">Food Delivery</t>
  </si>
  <si>
    <t xml:space="preserve">Quick Commerce</t>
  </si>
  <si>
    <t xml:space="preserve">Going Out</t>
  </si>
  <si>
    <t xml:space="preserve">B2B Supplies (Hyperpure)</t>
  </si>
  <si>
    <t xml:space="preserve">Others / Adjustments</t>
  </si>
  <si>
    <t xml:space="preserve">Total Adjusted Revenue</t>
  </si>
  <si>
    <t xml:space="preserve">ADJUSTED EBITDA</t>
  </si>
  <si>
    <t xml:space="preserve">Others</t>
  </si>
  <si>
    <t xml:space="preserve">Total Adjusted EBITDA</t>
  </si>
  <si>
    <t xml:space="preserve">ADJUSTED EBITDA MARGIN %</t>
  </si>
  <si>
    <t xml:space="preserve">Total Adjusted EBITDA Margin</t>
  </si>
  <si>
    <t xml:space="preserve">Note: Adjusted Revenue and Adjusted EBITDA are management-reported metrics that may differ from statutory Ind AS numbers.</t>
  </si>
  <si>
    <t xml:space="preserve">Source: Zomato Annual Report 2024, Business Overview (Page 5) and Note 39 - Segment Reporting</t>
  </si>
  <si>
    <t xml:space="preserve">Consolidated Income Statement</t>
  </si>
  <si>
    <t xml:space="preserve">For the year ended March 31, 2024 and March 31, 2023</t>
  </si>
  <si>
    <t xml:space="preserve">Particulars</t>
  </si>
  <si>
    <t xml:space="preserve">Note</t>
  </si>
  <si>
    <t xml:space="preserve">INCOME</t>
  </si>
  <si>
    <t xml:space="preserve">Revenue from operations</t>
  </si>
  <si>
    <t xml:space="preserve">21</t>
  </si>
  <si>
    <t xml:space="preserve">Other income</t>
  </si>
  <si>
    <t xml:space="preserve">22</t>
  </si>
  <si>
    <t xml:space="preserve">Total income</t>
  </si>
  <si>
    <t xml:space="preserve">EXPENSES</t>
  </si>
  <si>
    <t xml:space="preserve">Purchases of stock-in-trade</t>
  </si>
  <si>
    <t xml:space="preserve">23</t>
  </si>
  <si>
    <t xml:space="preserve">Changes in inventories of stock in trade</t>
  </si>
  <si>
    <t xml:space="preserve">24</t>
  </si>
  <si>
    <t xml:space="preserve">Employee benefits expense</t>
  </si>
  <si>
    <t xml:space="preserve">25</t>
  </si>
  <si>
    <t xml:space="preserve">Finance costs</t>
  </si>
  <si>
    <t xml:space="preserve">26</t>
  </si>
  <si>
    <t xml:space="preserve">Depreciation and amortisation expenses</t>
  </si>
  <si>
    <t xml:space="preserve">27</t>
  </si>
  <si>
    <t xml:space="preserve">Other expenses</t>
  </si>
  <si>
    <t xml:space="preserve">28</t>
  </si>
  <si>
    <t xml:space="preserve">Total expenses</t>
  </si>
  <si>
    <t xml:space="preserve">Profit/(Loss) before tax</t>
  </si>
  <si>
    <t xml:space="preserve">TAX</t>
  </si>
  <si>
    <t xml:space="preserve">Current tax</t>
  </si>
  <si>
    <t xml:space="preserve">Deferred tax</t>
  </si>
  <si>
    <t xml:space="preserve">Total tax expense/(credit)</t>
  </si>
  <si>
    <t xml:space="preserve">Profit/(Loss) for the year</t>
  </si>
  <si>
    <t xml:space="preserve">OTHER COMPREHENSIVE INCOME</t>
  </si>
  <si>
    <t xml:space="preserve">Items that will not be reclassified to profit or loss</t>
  </si>
  <si>
    <t xml:space="preserve">Items that may be reclassified subsequently to profit or loss</t>
  </si>
  <si>
    <t xml:space="preserve">Total other comprehensive income</t>
  </si>
  <si>
    <t xml:space="preserve">Total comprehensive income for the year</t>
  </si>
  <si>
    <t xml:space="preserve">EARNINGS PER SHARE (EPS)</t>
  </si>
  <si>
    <t xml:space="preserve">Basic EPS (INR)</t>
  </si>
  <si>
    <t xml:space="preserve">Diluted EPS (INR)</t>
  </si>
  <si>
    <t xml:space="preserve">Source: Zomato Annual Report 2024, Consolidated Financial Statements - Statement of Profit and Loss (Page 163)</t>
  </si>
  <si>
    <t xml:space="preserve">Consolidated Balance Sheet</t>
  </si>
  <si>
    <t xml:space="preserve">As at March 31, 2024 and March 31, 2023</t>
  </si>
  <si>
    <t xml:space="preserve">As at Mar 31, 2024</t>
  </si>
  <si>
    <t xml:space="preserve">As at Mar 31, 2023</t>
  </si>
  <si>
    <t xml:space="preserve">ASSETS</t>
  </si>
  <si>
    <t xml:space="preserve">Non-current assets</t>
  </si>
  <si>
    <t xml:space="preserve">Property, plant and equipment</t>
  </si>
  <si>
    <t xml:space="preserve">3</t>
  </si>
  <si>
    <t xml:space="preserve">Capital work-in-progress</t>
  </si>
  <si>
    <t xml:space="preserve">Right-of-use asset</t>
  </si>
  <si>
    <t xml:space="preserve">35</t>
  </si>
  <si>
    <t xml:space="preserve">Goodwill</t>
  </si>
  <si>
    <t xml:space="preserve">4</t>
  </si>
  <si>
    <t xml:space="preserve">Other intangible assets</t>
  </si>
  <si>
    <t xml:space="preserve">Financial assets - Investments</t>
  </si>
  <si>
    <t xml:space="preserve">5</t>
  </si>
  <si>
    <t xml:space="preserve">Financial assets - Other financial assets</t>
  </si>
  <si>
    <t xml:space="preserve">11</t>
  </si>
  <si>
    <t xml:space="preserve">Tax assets (net)</t>
  </si>
  <si>
    <t xml:space="preserve">12</t>
  </si>
  <si>
    <t xml:space="preserve">Other non-current assets</t>
  </si>
  <si>
    <t xml:space="preserve">13</t>
  </si>
  <si>
    <t xml:space="preserve">Total non-current assets</t>
  </si>
  <si>
    <t xml:space="preserve">Current assets</t>
  </si>
  <si>
    <t xml:space="preserve">Inventories</t>
  </si>
  <si>
    <t xml:space="preserve">14</t>
  </si>
  <si>
    <t xml:space="preserve">6</t>
  </si>
  <si>
    <t xml:space="preserve">Financial assets - Trade receivables</t>
  </si>
  <si>
    <t xml:space="preserve">7</t>
  </si>
  <si>
    <t xml:space="preserve">Cash and cash equivalents</t>
  </si>
  <si>
    <t xml:space="preserve">8</t>
  </si>
  <si>
    <t xml:space="preserve">Bank balances other than cash and cash equivalents</t>
  </si>
  <si>
    <t xml:space="preserve">9</t>
  </si>
  <si>
    <t xml:space="preserve">Financial assets - Loans</t>
  </si>
  <si>
    <t xml:space="preserve">10</t>
  </si>
  <si>
    <t xml:space="preserve">Other current assets</t>
  </si>
  <si>
    <t xml:space="preserve">Total current assets</t>
  </si>
  <si>
    <t xml:space="preserve">TOTAL ASSETS</t>
  </si>
  <si>
    <t xml:space="preserve">EQUITY AND LIABILITIES</t>
  </si>
  <si>
    <t xml:space="preserve">Equity</t>
  </si>
  <si>
    <t xml:space="preserve">Equity share capital</t>
  </si>
  <si>
    <t xml:space="preserve">15(a)</t>
  </si>
  <si>
    <t xml:space="preserve">Other equity</t>
  </si>
  <si>
    <t xml:space="preserve">15(b)</t>
  </si>
  <si>
    <t xml:space="preserve">Equity attributable to owners of the Parent</t>
  </si>
  <si>
    <t xml:space="preserve">Non-controlling interests</t>
  </si>
  <si>
    <t xml:space="preserve">Total equity</t>
  </si>
  <si>
    <t xml:space="preserve">Non-current liabilities</t>
  </si>
  <si>
    <t xml:space="preserve">Financial liabilities - Borrowings</t>
  </si>
  <si>
    <t xml:space="preserve">Financial liabilities - Lease liabilities</t>
  </si>
  <si>
    <t xml:space="preserve">Financial liabilities - Other financial liabilities</t>
  </si>
  <si>
    <t xml:space="preserve">Provisions</t>
  </si>
  <si>
    <t xml:space="preserve">Deferred tax liabilities (net)</t>
  </si>
  <si>
    <t xml:space="preserve">Total non-current liabilities</t>
  </si>
  <si>
    <t xml:space="preserve">Current liabilities</t>
  </si>
  <si>
    <t xml:space="preserve">Financial liabilities - Trade payables</t>
  </si>
  <si>
    <t xml:space="preserve">Current tax liabilities</t>
  </si>
  <si>
    <t xml:space="preserve">Other current liabilities</t>
  </si>
  <si>
    <t xml:space="preserve">Total current liabilities</t>
  </si>
  <si>
    <t xml:space="preserve">TOTAL EQUITY AND LIABILITIES</t>
  </si>
  <si>
    <t xml:space="preserve">Balance Check (Assets - Eq &amp; Liab)</t>
  </si>
  <si>
    <t xml:space="preserve">Source: Zomato Annual Report 2024, Consolidated Balance Sheet (Page 164)</t>
  </si>
  <si>
    <t xml:space="preserve">Consolidated Cash Flow Statement</t>
  </si>
  <si>
    <t xml:space="preserve">A. CASH FLOW FROM OPERATING ACTIVITIES</t>
  </si>
  <si>
    <t xml:space="preserve">Depreciation and amortisation</t>
  </si>
  <si>
    <t xml:space="preserve">Share-based payment expense</t>
  </si>
  <si>
    <t xml:space="preserve">Interest income</t>
  </si>
  <si>
    <t xml:space="preserve">Net gain on investments</t>
  </si>
  <si>
    <t xml:space="preserve">Provision for doubtful debts</t>
  </si>
  <si>
    <t xml:space="preserve">Bad debts written off</t>
  </si>
  <si>
    <t xml:space="preserve">Loss on sale of property, plant and equipment</t>
  </si>
  <si>
    <t xml:space="preserve">Rent concessions</t>
  </si>
  <si>
    <t xml:space="preserve">Other non-cash items</t>
  </si>
  <si>
    <t xml:space="preserve">Operating profit before working capital changes</t>
  </si>
  <si>
    <t xml:space="preserve">Changes in trade receivables</t>
  </si>
  <si>
    <t xml:space="preserve">Changes in inventories</t>
  </si>
  <si>
    <t xml:space="preserve">Changes in other financial assets</t>
  </si>
  <si>
    <t xml:space="preserve">Changes in other current assets</t>
  </si>
  <si>
    <t xml:space="preserve">Changes in trade payables</t>
  </si>
  <si>
    <t xml:space="preserve">Changes in other current liabilities</t>
  </si>
  <si>
    <t xml:space="preserve">Changes in provisions</t>
  </si>
  <si>
    <t xml:space="preserve">Changes in other non-current assets</t>
  </si>
  <si>
    <t xml:space="preserve">Cash generated from/(used in) operations</t>
  </si>
  <si>
    <t xml:space="preserve">Income taxes paid (net)</t>
  </si>
  <si>
    <t xml:space="preserve">Net cash from/(used in) operating activities</t>
  </si>
  <si>
    <t xml:space="preserve">B. CASH FLOW FROM INVESTING ACTIVITIES</t>
  </si>
  <si>
    <t xml:space="preserve">Purchase of property, plant and equipment</t>
  </si>
  <si>
    <t xml:space="preserve">Proceeds from sale of property, plant and equipment</t>
  </si>
  <si>
    <t xml:space="preserve">Purchase of investments</t>
  </si>
  <si>
    <t xml:space="preserve">Proceeds from sale of investments</t>
  </si>
  <si>
    <t xml:space="preserve">Interest received</t>
  </si>
  <si>
    <t xml:space="preserve">Loans given</t>
  </si>
  <si>
    <t xml:space="preserve">Loans repaid back</t>
  </si>
  <si>
    <t xml:space="preserve">Bank balances not considered as cash</t>
  </si>
  <si>
    <t xml:space="preserve">Changes in other non-current financial assets</t>
  </si>
  <si>
    <t xml:space="preserve">Net cash from/(used in) investing activities</t>
  </si>
  <si>
    <t xml:space="preserve">C. CASH FLOW FROM FINANCING ACTIVITIES</t>
  </si>
  <si>
    <t xml:space="preserve">Proceeds from issue of shares</t>
  </si>
  <si>
    <t xml:space="preserve">Proceeds from exercise of stock options</t>
  </si>
  <si>
    <t xml:space="preserve">Share issue expenses</t>
  </si>
  <si>
    <t xml:space="preserve">Payment of lease liabilities (principal)</t>
  </si>
  <si>
    <t xml:space="preserve">Interest on lease liabilities</t>
  </si>
  <si>
    <t xml:space="preserve">Finance costs paid</t>
  </si>
  <si>
    <t xml:space="preserve">Net cash from/(used in) financing activities</t>
  </si>
  <si>
    <t xml:space="preserve">Net increase/(decrease) in cash and cash equivalents</t>
  </si>
  <si>
    <t xml:space="preserve">Cash and cash equivalents at beginning of year</t>
  </si>
  <si>
    <t xml:space="preserve">Cash and cash equivalents at end of year</t>
  </si>
  <si>
    <t xml:space="preserve">Reconciliation with Balance Sheet</t>
  </si>
  <si>
    <t xml:space="preserve">Check:</t>
  </si>
  <si>
    <t xml:space="preserve">Cash &amp; equivalents per Balance Sheet</t>
  </si>
  <si>
    <t xml:space="preserve">Difference (should be 0)</t>
  </si>
  <si>
    <t xml:space="preserve">Source: Zomato Annual Report 2024, Consolidated Cash Flow Statement (Page 166)</t>
  </si>
  <si>
    <t xml:space="preserve">Other Expenses - Detailed Breakdown (Note 28)</t>
  </si>
  <si>
    <t xml:space="preserve">Detailed breakdown of Other Operating Expenses as per Consolidated Financial Statements</t>
  </si>
  <si>
    <t xml:space="preserve">Expense Category</t>
  </si>
  <si>
    <t xml:space="preserve">% of Total (FY24)</t>
  </si>
  <si>
    <t xml:space="preserve">Delivery and related charges</t>
  </si>
  <si>
    <t xml:space="preserve">Advertisement and sales promotion</t>
  </si>
  <si>
    <t xml:space="preserve">Outsourced support cost</t>
  </si>
  <si>
    <t xml:space="preserve">IT support services</t>
  </si>
  <si>
    <t xml:space="preserve">Warehousing management expenses</t>
  </si>
  <si>
    <t xml:space="preserve">Payment gateway charges</t>
  </si>
  <si>
    <t xml:space="preserve">Server and communication cost</t>
  </si>
  <si>
    <t xml:space="preserve">Freight and cartage</t>
  </si>
  <si>
    <t xml:space="preserve">Packaging and consumables</t>
  </si>
  <si>
    <t xml:space="preserve">Commission and brokerage</t>
  </si>
  <si>
    <t xml:space="preserve">Legal and professional fee</t>
  </si>
  <si>
    <t xml:space="preserve">Provision for doubtful debts and advances</t>
  </si>
  <si>
    <t xml:space="preserve">Repairs and maintenance</t>
  </si>
  <si>
    <t xml:space="preserve">Insurance</t>
  </si>
  <si>
    <t xml:space="preserve">Power and fuel</t>
  </si>
  <si>
    <t xml:space="preserve">Security expense</t>
  </si>
  <si>
    <t xml:space="preserve">Rent</t>
  </si>
  <si>
    <t xml:space="preserve">Rates and taxes</t>
  </si>
  <si>
    <t xml:space="preserve">Event infrastructure and artist fee</t>
  </si>
  <si>
    <t xml:space="preserve">Travelling and conveyance</t>
  </si>
  <si>
    <t xml:space="preserve">Postage and courier cost</t>
  </si>
  <si>
    <t xml:space="preserve">Amount written off</t>
  </si>
  <si>
    <t xml:space="preserve">Miscellaneous expenses</t>
  </si>
  <si>
    <t xml:space="preserve">Recruitment cost</t>
  </si>
  <si>
    <t xml:space="preserve">Printing and stationery</t>
  </si>
  <si>
    <t xml:space="preserve">Bad debts written-off</t>
  </si>
  <si>
    <t xml:space="preserve">Less: Bad debt against opening provision</t>
  </si>
  <si>
    <t xml:space="preserve">Less: Amount written off against provision</t>
  </si>
  <si>
    <t xml:space="preserve">Total other expenses</t>
  </si>
  <si>
    <t xml:space="preserve">TOP 5 EXPENSE CATEGORIES (FY24)</t>
  </si>
  <si>
    <t xml:space="preserve">Rank</t>
  </si>
  <si>
    <t xml:space="preserve">% of Total</t>
  </si>
  <si>
    <t xml:space="preserve">Source: Zomato Annual Report 2024, Note 28 - Other Expenses (Page 216)</t>
  </si>
  <si>
    <t xml:space="preserve">Food Delivery - Detailed Operational KPIs</t>
  </si>
  <si>
    <t xml:space="preserve">FY24 vs FY23 Performance Metrics for India Food Delivery Business</t>
  </si>
  <si>
    <t xml:space="preserve">ORDER METRICS</t>
  </si>
  <si>
    <t xml:space="preserve">Gross Order Value (GOV) - INR Crores</t>
  </si>
  <si>
    <t xml:space="preserve">Total Orders - Millions</t>
  </si>
  <si>
    <t xml:space="preserve">Average Order Value (AOV) - INR</t>
  </si>
  <si>
    <t xml:space="preserve">GOV per Order - INR</t>
  </si>
  <si>
    <t xml:space="preserve">CUSTOMER &amp; PARTNER METRICS</t>
  </si>
  <si>
    <t xml:space="preserve">Avg Monthly Transacting Customers - Millions</t>
  </si>
  <si>
    <t xml:space="preserve">Active Restaurant Partners - 000s</t>
  </si>
  <si>
    <t xml:space="preserve">Active Delivery Partners - 000s</t>
  </si>
  <si>
    <t xml:space="preserve">Active Zomato Gold Members - Millions</t>
  </si>
  <si>
    <t xml:space="preserve">UNIT ECONOMICS &amp; PROFITABILITY</t>
  </si>
  <si>
    <t xml:space="preserve">Revenue Metrics (INR Crores)</t>
  </si>
  <si>
    <t xml:space="preserve">Adjusted Revenue</t>
  </si>
  <si>
    <t xml:space="preserve">Take Rate (% of GOV)</t>
  </si>
  <si>
    <t xml:space="preserve">Contribution &amp; Profitability</t>
  </si>
  <si>
    <t xml:space="preserve">Contribution Margin %</t>
  </si>
  <si>
    <t xml:space="preserve">Adjusted EBITDA (INR Crores)</t>
  </si>
  <si>
    <t xml:space="preserve">Adjusted EBITDA Margin %</t>
  </si>
  <si>
    <t xml:space="preserve">KEY HIGHLIGHTS</t>
  </si>
  <si>
    <t xml:space="preserve">  1. Food Delivery GOV grew 23% YoY to INR 32,224 Cr, driven by 16% order growth and 6% AOV increase</t>
  </si>
  <si>
    <t xml:space="preserve">  2. Monthly transacting customers reached 18.4M (8% YoY), with Gold members growing 3x to 7.4M</t>
  </si>
  <si>
    <t xml:space="preserve">  3. Contribution margin expanded 210 bps from 5.4% to 7.5%, reflecting operating leverage</t>
  </si>
  <si>
    <t xml:space="preserve">  4. Adjusted EBITDA turned positive at INR 912 Cr vs INR (5) Cr in FY23</t>
  </si>
  <si>
    <t xml:space="preserve">  5. Active restaurant partners grew 18% to 247K, delivery partners grew 22% to 400K</t>
  </si>
  <si>
    <t xml:space="preserve">Source: Zomato Annual Report 2024, Food Delivery Business Overview (Pages 6, 15)</t>
  </si>
  <si>
    <t xml:space="preserve">Data Sources &amp; Citations</t>
  </si>
  <si>
    <t xml:space="preserve">All data in this workbook is sourced from Zomato Limited (Etern Limited) published Annual Report for FY2024</t>
  </si>
  <si>
    <t xml:space="preserve">Data Description</t>
  </si>
  <si>
    <t xml:space="preserve">Source Reference</t>
  </si>
  <si>
    <t xml:space="preserve">Report Page(s)</t>
  </si>
  <si>
    <t xml:space="preserve">Cover</t>
  </si>
  <si>
    <t xml:space="preserve">Key metrics summary, company overview</t>
  </si>
  <si>
    <t xml:space="preserve">Zomato Annual Report 2024 - Business Overview</t>
  </si>
  <si>
    <t xml:space="preserve">5-8</t>
  </si>
  <si>
    <t xml:space="preserve">Consolidated GOV, Orders, AOV, customers, partners, store count</t>
  </si>
  <si>
    <t xml:space="preserve">Zomato Annual Report 2024 - Business Overview Section</t>
  </si>
  <si>
    <t xml:space="preserve">Adjusted Revenue &amp; Adjusted EBITDA by segment</t>
  </si>
  <si>
    <t xml:space="preserve">Zomato Annual Report 2024 - Business Overview (Page 5) and Note 39</t>
  </si>
  <si>
    <t xml:space="preserve">5, 235</t>
  </si>
  <si>
    <t xml:space="preserve">Consolidated Statement of Profit and Loss (Ind AS)</t>
  </si>
  <si>
    <t xml:space="preserve">Zomato Annual Report 2024 - Consolidated Financial Statements</t>
  </si>
  <si>
    <t xml:space="preserve">163</t>
  </si>
  <si>
    <t xml:space="preserve">Consolidated Balance Sheet (Ind AS)</t>
  </si>
  <si>
    <t xml:space="preserve">164</t>
  </si>
  <si>
    <t xml:space="preserve">Consolidated Cash Flow Statement (Ind AS)</t>
  </si>
  <si>
    <t xml:space="preserve">166</t>
  </si>
  <si>
    <t xml:space="preserve">Detailed breakdown of Other Expenses (Note 28)</t>
  </si>
  <si>
    <t xml:space="preserve">Zomato Annual Report 2024 - Notes to Financial Statements</t>
  </si>
  <si>
    <t xml:space="preserve">216</t>
  </si>
  <si>
    <t xml:space="preserve">Detailed food delivery KPIs including contribution margin</t>
  </si>
  <si>
    <t xml:space="preserve">Zomato Annual Report 2024 - Food Delivery Business Overview</t>
  </si>
  <si>
    <t xml:space="preserve">6, 15</t>
  </si>
  <si>
    <t xml:space="preserve">Statutory segment revenue and results (Note 39)</t>
  </si>
  <si>
    <t xml:space="preserve">235</t>
  </si>
  <si>
    <t xml:space="preserve">Earnings Per Share data (Note 30)</t>
  </si>
  <si>
    <t xml:space="preserve">217</t>
  </si>
  <si>
    <t xml:space="preserve">Equity share capital and other equity (Note 15)</t>
  </si>
  <si>
    <t xml:space="preserve">220-221</t>
  </si>
  <si>
    <t xml:space="preserve">Tax expense details (Note 38)</t>
  </si>
  <si>
    <t xml:space="preserve">234</t>
  </si>
  <si>
    <t xml:space="preserve">All Sheets</t>
  </si>
  <si>
    <t xml:space="preserve">CIN, company identification, reporting entity info</t>
  </si>
  <si>
    <t xml:space="preserve">Zomato Annual Report 2024 - Statutory Reports</t>
  </si>
  <si>
    <t xml:space="preserve">REPORT DETAILS</t>
  </si>
  <si>
    <t xml:space="preserve">Company Name:</t>
  </si>
  <si>
    <t xml:space="preserve">Zomato Limited (formerly known as Zomato Private Limited)</t>
  </si>
  <si>
    <t xml:space="preserve">New Corporate Name:</t>
  </si>
  <si>
    <t xml:space="preserve">Etern Limited (effective upon shareholder approval)</t>
  </si>
  <si>
    <t xml:space="preserve">CIN:</t>
  </si>
  <si>
    <t xml:space="preserve">L93030DL2010PLC198141</t>
  </si>
  <si>
    <t xml:space="preserve">FY2024 (April 1, 2023 - March 31, 2024)</t>
  </si>
  <si>
    <t xml:space="preserve">FY2023 (April 1, 2022 - March 31, 2023)</t>
  </si>
  <si>
    <t xml:space="preserve">Accounting Standards:</t>
  </si>
  <si>
    <t xml:space="preserve">Indian Accounting Standards (Ind AS) as per Companies Act, 2013</t>
  </si>
  <si>
    <t xml:space="preserve">Indian Rupees (INR) in Crores (unless otherwise stated)</t>
  </si>
  <si>
    <t xml:space="preserve">Auditor:</t>
  </si>
  <si>
    <t xml:space="preserve">SRBC &amp; Co LLP, Chartered Accountants</t>
  </si>
  <si>
    <t xml:space="preserve">Report Publication Date:</t>
  </si>
  <si>
    <t xml:space="preserve">July 2024</t>
  </si>
  <si>
    <t xml:space="preserve">Stock Exchange Listing:</t>
  </si>
  <si>
    <t xml:space="preserve">BSE Limited and National Stock Exchange of India Limited</t>
  </si>
  <si>
    <t xml:space="preserve">ISIN:</t>
  </si>
  <si>
    <t xml:space="preserve">INE758T01015</t>
  </si>
  <si>
    <t xml:space="preserve">DISCLAIMER</t>
  </si>
  <si>
    <t xml:space="preserve">This workbook is prepared for educational and analytical purposes only. All data has been extracted from Zomato Limited's (Etern Limited) publicly available Annual Report for FY2024. While every effort has been made to ensure accuracy, users should verify critical data points against the original filings. This workbook does not constitute investment advice.</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</si>
</sst>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00"/>
    <numFmt numFmtId="169" formatCode="0&quot; bps&quot;"/>
  </numFmts>
  <fonts count="22">
    <font>
      <sz val="11"/>
      <color rgb="FF000000"/>
      <name val="Calibri"/>
      <family val="2"/>
      <charset val="1"/>
    </font>
    <font>
      <sz val="10"/>
      <name val="Arial"/>
      <family val="0"/>
    </font>
    <font>
      <sz val="10"/>
      <name val="Arial"/>
      <family val="0"/>
    </font>
    <font>
      <sz val="10"/>
      <name val="Arial"/>
      <family val="0"/>
    </font>
    <font>
      <b val="true"/>
      <sz val="22"/>
      <color rgb="FF122B49"/>
      <name val="Calibri"/>
      <family val="0"/>
      <charset val="1"/>
    </font>
    <font>
      <sz val="13"/>
      <color rgb="FF666666"/>
      <name val="Calibri"/>
      <family val="0"/>
      <charset val="1"/>
    </font>
    <font>
      <b val="true"/>
      <sz val="10"/>
      <color rgb="FF000000"/>
      <name val="Calibri"/>
      <family val="0"/>
      <charset val="1"/>
    </font>
    <font>
      <sz val="10"/>
      <color rgb="FF0066CC"/>
      <name val="Calibri"/>
      <family val="0"/>
      <charset val="1"/>
    </font>
    <font>
      <b val="true"/>
      <sz val="14"/>
      <color rgb="FFFFFFFF"/>
      <name val="Calibri"/>
      <family val="0"/>
      <charset val="1"/>
    </font>
    <font>
      <b val="true"/>
      <sz val="10"/>
      <color rgb="FF122B49"/>
      <name val="Calibri"/>
      <family val="0"/>
      <charset val="1"/>
    </font>
    <font>
      <sz val="10"/>
      <color rgb="FF000000"/>
      <name val="Calibri"/>
      <family val="0"/>
      <charset val="1"/>
    </font>
    <font>
      <sz val="10"/>
      <color rgb="FF008000"/>
      <name val="Calibri"/>
      <family val="0"/>
      <charset val="1"/>
    </font>
    <font>
      <b val="true"/>
      <sz val="10"/>
      <color rgb="FF0066CC"/>
      <name val="Calibri"/>
      <family val="0"/>
      <charset val="1"/>
    </font>
    <font>
      <i val="true"/>
      <sz val="9"/>
      <color rgb="FF666666"/>
      <name val="Calibri"/>
      <family val="0"/>
      <charset val="1"/>
    </font>
    <font>
      <b val="true"/>
      <sz val="16"/>
      <color rgb="FF122B49"/>
      <name val="Calibri"/>
      <family val="0"/>
      <charset val="1"/>
    </font>
    <font>
      <i val="true"/>
      <sz val="10"/>
      <color rgb="FF666666"/>
      <name val="Calibri"/>
      <family val="0"/>
      <charset val="1"/>
    </font>
    <font>
      <b val="true"/>
      <sz val="10"/>
      <color rgb="FFFFFFFF"/>
      <name val="Calibri"/>
      <family val="0"/>
      <charset val="1"/>
    </font>
    <font>
      <b val="true"/>
      <sz val="11"/>
      <color rgb="FF122B49"/>
      <name val="Calibri"/>
      <family val="0"/>
      <charset val="1"/>
    </font>
    <font>
      <sz val="10"/>
      <color rgb="FF666666"/>
      <name val="Calibri"/>
      <family val="0"/>
      <charset val="1"/>
    </font>
    <font>
      <b val="true"/>
      <sz val="10"/>
      <color rgb="FF008000"/>
      <name val="Calibri"/>
      <family val="0"/>
      <charset val="1"/>
    </font>
    <font>
      <b val="true"/>
      <sz val="11"/>
      <color rgb="FFFFFFFF"/>
      <name val="Calibri"/>
      <family val="0"/>
      <charset val="1"/>
    </font>
    <font>
      <b val="true"/>
      <sz val="12"/>
      <color rgb="FFFFFFFF"/>
      <name val="Calibri"/>
      <family val="0"/>
      <charset val="1"/>
    </font>
  </fonts>
  <fills count="7">
    <fill>
      <patternFill patternType="none"/>
    </fill>
    <fill>
      <patternFill patternType="gray125"/>
    </fill>
    <fill>
      <patternFill patternType="solid">
        <fgColor rgb="FF122B49"/>
        <bgColor rgb="FF333333"/>
      </patternFill>
    </fill>
    <fill>
      <patternFill patternType="solid">
        <fgColor rgb="FFF5F5F5"/>
        <bgColor rgb="FFF9F9F9"/>
      </patternFill>
    </fill>
    <fill>
      <patternFill patternType="solid">
        <fgColor rgb="FFF9F9F9"/>
        <bgColor rgb="FFF5F5F5"/>
      </patternFill>
    </fill>
    <fill>
      <patternFill patternType="solid">
        <fgColor rgb="FFE8EEF4"/>
        <bgColor rgb="FFF5F5F5"/>
      </patternFill>
    </fill>
    <fill>
      <patternFill patternType="solid">
        <fgColor rgb="FFFFF3E0"/>
        <bgColor rgb="FFF5F5F5"/>
      </patternFill>
    </fill>
  </fills>
  <borders count="5">
    <border diagonalUp="false" diagonalDown="false">
      <left/>
      <right/>
      <top/>
      <bottom/>
      <diagonal/>
    </border>
    <border diagonalUp="false" diagonalDown="false">
      <left/>
      <right/>
      <top/>
      <bottom style="medium">
        <color rgb="FF122B49"/>
      </bottom>
      <diagonal/>
    </border>
    <border diagonalUp="false" diagonalDown="false">
      <left/>
      <right/>
      <top/>
      <bottom style="thin">
        <color rgb="FFD0D0D0"/>
      </bottom>
      <diagonal/>
    </border>
    <border diagonalUp="false" diagonalDown="false">
      <left/>
      <right/>
      <top/>
      <bottom style="medium"/>
      <diagonal/>
    </border>
    <border diagonalUp="false" diagonalDown="false">
      <left/>
      <right/>
      <top/>
      <bottom style="double">
        <color rgb="FF122B4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true" applyProtection="false">
      <alignment horizontal="right" vertical="bottom" textRotation="0" wrapText="false" indent="0" shrinkToFit="false"/>
      <protection locked="true" hidden="false"/>
    </xf>
    <xf numFmtId="165" fontId="10"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true" applyProtection="false">
      <alignment horizontal="right" vertical="bottom" textRotation="0" wrapText="false" indent="0" shrinkToFit="false"/>
      <protection locked="true" hidden="false"/>
    </xf>
    <xf numFmtId="167" fontId="10" fillId="4" borderId="0" xfId="0" applyFont="true" applyBorder="false" applyAlignment="true" applyProtection="false">
      <alignment horizontal="right"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center" vertical="center"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1"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4" fontId="6" fillId="0" borderId="3" xfId="0" applyFont="true" applyBorder="true" applyAlignment="true" applyProtection="false">
      <alignment horizontal="left" vertical="bottom" textRotation="0" wrapText="false" indent="0" shrinkToFit="false"/>
      <protection locked="true" hidden="false"/>
    </xf>
    <xf numFmtId="165" fontId="6" fillId="3" borderId="3" xfId="0" applyFont="true" applyBorder="true" applyAlignment="true" applyProtection="false">
      <alignment horizontal="right" vertical="bottom" textRotation="0" wrapText="false" indent="0" shrinkToFit="false"/>
      <protection locked="true" hidden="false"/>
    </xf>
    <xf numFmtId="166" fontId="6" fillId="3" borderId="3" xfId="0" applyFont="true" applyBorder="tru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right"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5" fontId="6" fillId="6" borderId="0" xfId="0" applyFont="true" applyBorder="false" applyAlignment="true" applyProtection="false">
      <alignment horizontal="right" vertical="bottom" textRotation="0" wrapText="false" indent="0" shrinkToFit="false"/>
      <protection locked="true" hidden="false"/>
    </xf>
    <xf numFmtId="166" fontId="6" fillId="6" borderId="0" xfId="0" applyFont="true" applyBorder="false" applyAlignment="true" applyProtection="false">
      <alignment horizontal="right" vertical="bottom" textRotation="0" wrapText="false" indent="0" shrinkToFit="false"/>
      <protection locked="true" hidden="false"/>
    </xf>
    <xf numFmtId="164" fontId="17" fillId="0" borderId="4"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5" fontId="17" fillId="6" borderId="4" xfId="0" applyFont="true" applyBorder="true" applyAlignment="true" applyProtection="false">
      <alignment horizontal="right" vertical="bottom" textRotation="0" wrapText="false" indent="0" shrinkToFit="false"/>
      <protection locked="true" hidden="false"/>
    </xf>
    <xf numFmtId="166" fontId="17" fillId="6" borderId="4" xfId="0" applyFont="true" applyBorder="true" applyAlignment="true" applyProtection="false">
      <alignment horizontal="right"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68" fontId="10"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5" fontId="19" fillId="0" borderId="0" xfId="0" applyFont="true" applyBorder="false" applyAlignment="true" applyProtection="false">
      <alignment horizontal="right" vertical="bottom" textRotation="0" wrapText="false" indent="0" shrinkToFit="false"/>
      <protection locked="true" hidden="false"/>
    </xf>
    <xf numFmtId="165" fontId="6" fillId="6" borderId="3" xfId="0" applyFont="true" applyBorder="true" applyAlignment="true" applyProtection="false">
      <alignment horizontal="right"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bottom" textRotation="0" wrapText="false" indent="1" shrinkToFit="false"/>
      <protection locked="true" hidden="false"/>
    </xf>
    <xf numFmtId="166" fontId="10" fillId="4" borderId="0" xfId="0" applyFont="true" applyBorder="false" applyAlignment="true" applyProtection="false">
      <alignment horizontal="right" vertical="bottom" textRotation="0" wrapText="fals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1" shrinkToFit="false"/>
      <protection locked="true" hidden="false"/>
    </xf>
    <xf numFmtId="164" fontId="10" fillId="0" borderId="3" xfId="0" applyFont="true" applyBorder="true" applyAlignment="true" applyProtection="false">
      <alignment horizontal="left" vertical="bottom" textRotation="0" wrapText="false" indent="1" shrinkToFit="false"/>
      <protection locked="true" hidden="false"/>
    </xf>
    <xf numFmtId="164" fontId="6" fillId="0" borderId="3" xfId="0" applyFont="true" applyBorder="true" applyAlignment="true" applyProtection="false">
      <alignment horizontal="left" vertical="bottom" textRotation="0" wrapText="false" indent="1" shrinkToFit="false"/>
      <protection locked="true" hidden="false"/>
    </xf>
    <xf numFmtId="169" fontId="6" fillId="3" borderId="3" xfId="0" applyFont="true" applyBorder="tru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9" fontId="10" fillId="0" borderId="0" xfId="0" applyFont="true" applyBorder="false" applyAlignment="true" applyProtection="false">
      <alignment horizontal="right" vertical="bottom" textRotation="0" wrapText="false" indent="0" shrinkToFit="false"/>
      <protection locked="true" hidden="false"/>
    </xf>
    <xf numFmtId="164" fontId="10" fillId="4"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21" fillId="2"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E0"/>
      <rgbColor rgb="FFE8EEF4"/>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5F5F5"/>
      <rgbColor rgb="FFF9F9F9"/>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22B49"/>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5"/>
    <col collapsed="false" customWidth="true" hidden="false" outlineLevel="0" max="6" min="3" style="0" width="22"/>
    <col collapsed="false" customWidth="true" hidden="false" outlineLevel="0" max="7" min="7" style="0" width="3"/>
  </cols>
  <sheetData>
    <row r="2" customFormat="false" ht="39.75" hidden="false" customHeight="true" outlineLevel="0" collapsed="false">
      <c r="B2" s="1" t="s">
        <v>0</v>
      </c>
      <c r="C2" s="1"/>
      <c r="D2" s="1"/>
      <c r="E2" s="1"/>
      <c r="F2" s="1"/>
    </row>
    <row r="3" customFormat="false" ht="24.75" hidden="false" customHeight="true" outlineLevel="0" collapsed="false">
      <c r="B3" s="2" t="s">
        <v>1</v>
      </c>
      <c r="C3" s="2"/>
      <c r="D3" s="2"/>
      <c r="E3" s="2"/>
      <c r="F3" s="2"/>
    </row>
    <row r="4" customFormat="false" ht="15" hidden="false" customHeight="false" outlineLevel="0" collapsed="false">
      <c r="B4" s="3"/>
      <c r="C4" s="3"/>
      <c r="D4" s="3"/>
      <c r="E4" s="3"/>
      <c r="F4" s="3"/>
    </row>
    <row r="6" customFormat="false" ht="15" hidden="false" customHeight="false" outlineLevel="0" collapsed="false">
      <c r="B6" s="4" t="s">
        <v>2</v>
      </c>
      <c r="C6" s="5" t="s">
        <v>3</v>
      </c>
    </row>
    <row r="7" customFormat="false" ht="15" hidden="false" customHeight="false" outlineLevel="0" collapsed="false">
      <c r="B7" s="4" t="s">
        <v>4</v>
      </c>
      <c r="C7" s="5" t="s">
        <v>5</v>
      </c>
    </row>
    <row r="8" customFormat="false" ht="15" hidden="false" customHeight="false" outlineLevel="0" collapsed="false">
      <c r="B8" s="4" t="s">
        <v>6</v>
      </c>
      <c r="C8" s="5" t="s">
        <v>7</v>
      </c>
    </row>
    <row r="9" customFormat="false" ht="15" hidden="false" customHeight="false" outlineLevel="0" collapsed="false">
      <c r="B9" s="4" t="s">
        <v>8</v>
      </c>
      <c r="C9" s="5" t="s">
        <v>9</v>
      </c>
    </row>
    <row r="11" customFormat="false" ht="24.75" hidden="false" customHeight="true" outlineLevel="0" collapsed="false">
      <c r="B11" s="6" t="s">
        <v>10</v>
      </c>
      <c r="C11" s="6"/>
      <c r="D11" s="6"/>
      <c r="E11" s="6"/>
      <c r="F11" s="6"/>
    </row>
    <row r="12" customFormat="false" ht="15" hidden="false" customHeight="false" outlineLevel="0" collapsed="false">
      <c r="B12" s="7" t="s">
        <v>11</v>
      </c>
      <c r="C12" s="7" t="s">
        <v>12</v>
      </c>
      <c r="D12" s="7" t="s">
        <v>13</v>
      </c>
      <c r="E12" s="7" t="s">
        <v>14</v>
      </c>
      <c r="F12" s="7" t="s">
        <v>15</v>
      </c>
    </row>
    <row r="13" customFormat="false" ht="15" hidden="false" customHeight="false" outlineLevel="0" collapsed="false">
      <c r="B13" s="8" t="s">
        <v>16</v>
      </c>
      <c r="C13" s="9" t="n">
        <v>12114</v>
      </c>
      <c r="D13" s="9" t="n">
        <v>7079</v>
      </c>
      <c r="E13" s="10" t="n">
        <f aca="false">C13-D13</f>
        <v>5035</v>
      </c>
      <c r="F13" s="11" t="n">
        <f aca="false">E13/D13</f>
        <v>0.711258652352027</v>
      </c>
    </row>
    <row r="14" customFormat="false" ht="15" hidden="false" customHeight="false" outlineLevel="0" collapsed="false">
      <c r="B14" s="12" t="s">
        <v>17</v>
      </c>
      <c r="C14" s="13" t="n">
        <v>13545</v>
      </c>
      <c r="D14" s="13" t="n">
        <v>8292</v>
      </c>
      <c r="E14" s="14" t="n">
        <f aca="false">C14-D14</f>
        <v>5253</v>
      </c>
      <c r="F14" s="15" t="n">
        <f aca="false">E14/D14</f>
        <v>0.633502170767004</v>
      </c>
    </row>
    <row r="15" customFormat="false" ht="15" hidden="false" customHeight="false" outlineLevel="0" collapsed="false">
      <c r="B15" s="8" t="s">
        <v>18</v>
      </c>
      <c r="C15" s="9" t="n">
        <v>351</v>
      </c>
      <c r="D15" s="9" t="n">
        <v>-971</v>
      </c>
      <c r="E15" s="10" t="n">
        <f aca="false">C15-D15</f>
        <v>1322</v>
      </c>
      <c r="F15" s="16"/>
    </row>
    <row r="16" customFormat="false" ht="15" hidden="false" customHeight="false" outlineLevel="0" collapsed="false">
      <c r="B16" s="12" t="s">
        <v>19</v>
      </c>
      <c r="C16" s="13" t="n">
        <v>47918</v>
      </c>
      <c r="D16" s="13" t="n">
        <v>36481</v>
      </c>
      <c r="E16" s="14" t="n">
        <f aca="false">C16-D16</f>
        <v>11437</v>
      </c>
      <c r="F16" s="15" t="n">
        <f aca="false">E16/D16</f>
        <v>0.313505660480798</v>
      </c>
    </row>
    <row r="17" customFormat="false" ht="15" hidden="false" customHeight="false" outlineLevel="0" collapsed="false">
      <c r="B17" s="8" t="s">
        <v>20</v>
      </c>
      <c r="C17" s="9" t="n">
        <v>32224</v>
      </c>
      <c r="D17" s="9" t="n">
        <v>26193</v>
      </c>
      <c r="E17" s="10" t="n">
        <f aca="false">C17-D17</f>
        <v>6031</v>
      </c>
      <c r="F17" s="11" t="n">
        <f aca="false">E17/D17</f>
        <v>0.230252357500095</v>
      </c>
    </row>
    <row r="18" customFormat="false" ht="15" hidden="false" customHeight="false" outlineLevel="0" collapsed="false">
      <c r="B18" s="12" t="s">
        <v>21</v>
      </c>
      <c r="C18" s="13" t="n">
        <v>12469</v>
      </c>
      <c r="D18" s="13" t="n">
        <v>6463</v>
      </c>
      <c r="E18" s="14" t="n">
        <f aca="false">C18-D18</f>
        <v>6006</v>
      </c>
      <c r="F18" s="15" t="n">
        <f aca="false">E18/D18</f>
        <v>0.929289803496828</v>
      </c>
    </row>
    <row r="19" customFormat="false" ht="15" hidden="false" customHeight="false" outlineLevel="0" collapsed="false">
      <c r="B19" s="8" t="s">
        <v>22</v>
      </c>
      <c r="C19" s="9" t="n">
        <v>753</v>
      </c>
      <c r="D19" s="9" t="n">
        <v>649</v>
      </c>
      <c r="E19" s="10" t="n">
        <f aca="false">C19-D19</f>
        <v>104</v>
      </c>
      <c r="F19" s="11" t="n">
        <f aca="false">E19/D19</f>
        <v>0.160246533127889</v>
      </c>
    </row>
    <row r="20" customFormat="false" ht="15" hidden="false" customHeight="false" outlineLevel="0" collapsed="false">
      <c r="B20" s="12" t="s">
        <v>23</v>
      </c>
      <c r="C20" s="13" t="n">
        <v>203</v>
      </c>
      <c r="D20" s="13" t="n">
        <v>119</v>
      </c>
      <c r="E20" s="14" t="n">
        <f aca="false">C20-D20</f>
        <v>84</v>
      </c>
      <c r="F20" s="15" t="n">
        <f aca="false">E20/D20</f>
        <v>0.705882352941177</v>
      </c>
    </row>
    <row r="21" customFormat="false" ht="15" hidden="false" customHeight="false" outlineLevel="0" collapsed="false">
      <c r="B21" s="8" t="s">
        <v>24</v>
      </c>
      <c r="C21" s="17" t="n">
        <v>18.4</v>
      </c>
      <c r="D21" s="17" t="n">
        <v>17</v>
      </c>
      <c r="E21" s="18" t="n">
        <f aca="false">C21-D21</f>
        <v>1.4</v>
      </c>
      <c r="F21" s="11" t="n">
        <f aca="false">E21/D21</f>
        <v>0.0823529411764705</v>
      </c>
    </row>
    <row r="22" customFormat="false" ht="15" hidden="false" customHeight="false" outlineLevel="0" collapsed="false">
      <c r="B22" s="12" t="s">
        <v>25</v>
      </c>
      <c r="C22" s="13" t="n">
        <v>23356</v>
      </c>
      <c r="D22" s="13" t="n">
        <v>21599</v>
      </c>
      <c r="E22" s="14" t="n">
        <f aca="false">C22-D22</f>
        <v>1757</v>
      </c>
      <c r="F22" s="15" t="n">
        <f aca="false">E22/D22</f>
        <v>0.0813463586277143</v>
      </c>
    </row>
    <row r="23" customFormat="false" ht="15" hidden="false" customHeight="false" outlineLevel="0" collapsed="false">
      <c r="B23" s="8" t="s">
        <v>26</v>
      </c>
      <c r="C23" s="9" t="n">
        <v>309</v>
      </c>
      <c r="D23" s="9" t="n">
        <v>218</v>
      </c>
      <c r="E23" s="10" t="n">
        <f aca="false">C23-D23</f>
        <v>91</v>
      </c>
      <c r="F23" s="11" t="n">
        <f aca="false">E23/D23</f>
        <v>0.41743119266055</v>
      </c>
    </row>
    <row r="25" customFormat="false" ht="24.75" hidden="false" customHeight="true" outlineLevel="0" collapsed="false">
      <c r="B25" s="6" t="s">
        <v>27</v>
      </c>
      <c r="C25" s="6"/>
      <c r="D25" s="6"/>
      <c r="E25" s="6"/>
      <c r="F25" s="6"/>
    </row>
    <row r="26" customFormat="false" ht="15" hidden="false" customHeight="false" outlineLevel="0" collapsed="false">
      <c r="B26" s="7" t="s">
        <v>28</v>
      </c>
      <c r="C26" s="7" t="s">
        <v>29</v>
      </c>
      <c r="D26" s="7" t="s">
        <v>30</v>
      </c>
      <c r="E26" s="7" t="s">
        <v>31</v>
      </c>
    </row>
    <row r="27" customFormat="false" ht="15" hidden="false" customHeight="false" outlineLevel="0" collapsed="false">
      <c r="B27" s="19" t="s">
        <v>32</v>
      </c>
      <c r="C27" s="8" t="s">
        <v>33</v>
      </c>
      <c r="D27" s="20" t="s">
        <v>34</v>
      </c>
      <c r="E27" s="20" t="s">
        <v>35</v>
      </c>
    </row>
    <row r="28" customFormat="false" ht="15" hidden="false" customHeight="false" outlineLevel="0" collapsed="false">
      <c r="B28" s="21" t="s">
        <v>36</v>
      </c>
      <c r="C28" s="12" t="s">
        <v>37</v>
      </c>
      <c r="D28" s="22" t="s">
        <v>38</v>
      </c>
      <c r="E28" s="22" t="s">
        <v>35</v>
      </c>
    </row>
    <row r="29" customFormat="false" ht="15" hidden="false" customHeight="false" outlineLevel="0" collapsed="false">
      <c r="B29" s="19" t="s">
        <v>39</v>
      </c>
      <c r="C29" s="8" t="s">
        <v>40</v>
      </c>
      <c r="D29" s="20" t="s">
        <v>38</v>
      </c>
      <c r="E29" s="20" t="s">
        <v>35</v>
      </c>
    </row>
    <row r="30" customFormat="false" ht="15" hidden="false" customHeight="false" outlineLevel="0" collapsed="false">
      <c r="B30" s="21" t="s">
        <v>41</v>
      </c>
      <c r="C30" s="12" t="s">
        <v>42</v>
      </c>
      <c r="D30" s="22" t="s">
        <v>38</v>
      </c>
      <c r="E30" s="22" t="s">
        <v>43</v>
      </c>
    </row>
    <row r="31" customFormat="false" ht="15" hidden="false" customHeight="false" outlineLevel="0" collapsed="false">
      <c r="B31" s="19" t="s">
        <v>44</v>
      </c>
      <c r="C31" s="8" t="s">
        <v>45</v>
      </c>
      <c r="D31" s="20" t="s">
        <v>38</v>
      </c>
      <c r="E31" s="20" t="s">
        <v>35</v>
      </c>
    </row>
    <row r="32" customFormat="false" ht="15" hidden="false" customHeight="false" outlineLevel="0" collapsed="false">
      <c r="B32" s="21" t="s">
        <v>46</v>
      </c>
      <c r="C32" s="12" t="s">
        <v>47</v>
      </c>
      <c r="D32" s="22" t="s">
        <v>38</v>
      </c>
      <c r="E32" s="22" t="s">
        <v>35</v>
      </c>
    </row>
    <row r="33" customFormat="false" ht="15" hidden="false" customHeight="false" outlineLevel="0" collapsed="false">
      <c r="B33" s="19" t="s">
        <v>48</v>
      </c>
      <c r="C33" s="8" t="s">
        <v>49</v>
      </c>
      <c r="D33" s="20" t="s">
        <v>34</v>
      </c>
      <c r="E33" s="20" t="s">
        <v>35</v>
      </c>
    </row>
    <row r="34" customFormat="false" ht="15" hidden="false" customHeight="false" outlineLevel="0" collapsed="false">
      <c r="B34" s="21" t="s">
        <v>50</v>
      </c>
      <c r="C34" s="12" t="s">
        <v>51</v>
      </c>
      <c r="D34" s="22" t="s">
        <v>52</v>
      </c>
      <c r="E34" s="22" t="s">
        <v>53</v>
      </c>
    </row>
    <row r="37" customFormat="false" ht="15" hidden="false" customHeight="false" outlineLevel="0" collapsed="false">
      <c r="B37" s="23" t="s">
        <v>54</v>
      </c>
      <c r="C37" s="23"/>
      <c r="D37" s="23"/>
      <c r="E37" s="23"/>
      <c r="F37" s="23"/>
    </row>
  </sheetData>
  <mergeCells count="5">
    <mergeCell ref="B2:F2"/>
    <mergeCell ref="B3:F3"/>
    <mergeCell ref="B11:F11"/>
    <mergeCell ref="B25:F25"/>
    <mergeCell ref="B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5"/>
    <col collapsed="false" customWidth="true" hidden="false" outlineLevel="0" max="4" min="3" style="0" width="20"/>
    <col collapsed="false" customWidth="true" hidden="false" outlineLevel="0" max="6" min="5" style="0" width="18"/>
    <col collapsed="false" customWidth="true" hidden="false" outlineLevel="0" max="7" min="7" style="0" width="3"/>
  </cols>
  <sheetData>
    <row r="2" customFormat="false" ht="30" hidden="false" customHeight="true" outlineLevel="0" collapsed="false">
      <c r="B2" s="24" t="s">
        <v>32</v>
      </c>
      <c r="C2" s="24"/>
      <c r="D2" s="24"/>
      <c r="E2" s="24"/>
      <c r="F2" s="24"/>
    </row>
    <row r="3" customFormat="false" ht="15" hidden="false" customHeight="false" outlineLevel="0" collapsed="false">
      <c r="B3" s="25" t="s">
        <v>55</v>
      </c>
    </row>
    <row r="5" customFormat="false" ht="15" hidden="false" customHeight="false" outlineLevel="0" collapsed="false">
      <c r="B5" s="26" t="s">
        <v>11</v>
      </c>
      <c r="C5" s="26" t="s">
        <v>12</v>
      </c>
      <c r="D5" s="26" t="s">
        <v>13</v>
      </c>
      <c r="E5" s="26" t="s">
        <v>14</v>
      </c>
      <c r="F5" s="26" t="s">
        <v>56</v>
      </c>
    </row>
    <row r="6" customFormat="false" ht="15" hidden="false" customHeight="false" outlineLevel="0" collapsed="false">
      <c r="B6" s="27" t="s">
        <v>57</v>
      </c>
      <c r="C6" s="28"/>
      <c r="D6" s="28"/>
      <c r="E6" s="28"/>
      <c r="F6" s="28"/>
    </row>
    <row r="7" customFormat="false" ht="15" hidden="false" customHeight="false" outlineLevel="0" collapsed="false">
      <c r="B7" s="29" t="s">
        <v>58</v>
      </c>
      <c r="C7" s="13" t="n">
        <v>32224</v>
      </c>
      <c r="D7" s="13" t="n">
        <v>26193</v>
      </c>
      <c r="E7" s="14" t="n">
        <f aca="false">C7-D7</f>
        <v>6031</v>
      </c>
      <c r="F7" s="30" t="n">
        <f aca="false">IF(D7=0,"N/A",E7/D7)</f>
        <v>0.230252357500095</v>
      </c>
    </row>
    <row r="8" customFormat="false" ht="15" hidden="false" customHeight="false" outlineLevel="0" collapsed="false">
      <c r="B8" s="29" t="s">
        <v>59</v>
      </c>
      <c r="C8" s="13" t="n">
        <v>12469</v>
      </c>
      <c r="D8" s="13" t="n">
        <v>6463</v>
      </c>
      <c r="E8" s="14" t="n">
        <f aca="false">C8-D8</f>
        <v>6006</v>
      </c>
      <c r="F8" s="30" t="n">
        <f aca="false">IF(D8=0,"N/A",E8/D8)</f>
        <v>0.929289803496828</v>
      </c>
    </row>
    <row r="9" customFormat="false" ht="15" hidden="false" customHeight="false" outlineLevel="0" collapsed="false">
      <c r="B9" s="29" t="s">
        <v>60</v>
      </c>
      <c r="C9" s="13" t="n">
        <v>3225</v>
      </c>
      <c r="D9" s="13" t="n">
        <v>2825</v>
      </c>
      <c r="E9" s="14" t="n">
        <f aca="false">C9-D9</f>
        <v>400</v>
      </c>
      <c r="F9" s="30" t="n">
        <f aca="false">IF(D9=0,"N/A",E9/D9)</f>
        <v>0.141592920353982</v>
      </c>
    </row>
    <row r="10" customFormat="false" ht="15" hidden="false" customHeight="false" outlineLevel="0" collapsed="false">
      <c r="B10" s="31" t="s">
        <v>61</v>
      </c>
      <c r="C10" s="32" t="n">
        <f aca="false">C7+C8+C9</f>
        <v>47918</v>
      </c>
      <c r="D10" s="32" t="n">
        <f aca="false">D7+D8+D9</f>
        <v>35481</v>
      </c>
      <c r="E10" s="32" t="n">
        <f aca="false">C10-D10</f>
        <v>12437</v>
      </c>
      <c r="F10" s="33" t="n">
        <f aca="false">IF(D10=0,"N/A",E10/D10)</f>
        <v>0.350525633437615</v>
      </c>
    </row>
    <row r="12" customFormat="false" ht="15" hidden="false" customHeight="false" outlineLevel="0" collapsed="false">
      <c r="B12" s="27" t="s">
        <v>62</v>
      </c>
      <c r="C12" s="28"/>
      <c r="D12" s="28"/>
      <c r="E12" s="28"/>
      <c r="F12" s="28"/>
    </row>
    <row r="13" customFormat="false" ht="15" hidden="false" customHeight="false" outlineLevel="0" collapsed="false">
      <c r="B13" s="29" t="s">
        <v>63</v>
      </c>
      <c r="C13" s="13" t="n">
        <v>753</v>
      </c>
      <c r="D13" s="13" t="n">
        <v>649</v>
      </c>
      <c r="E13" s="14" t="n">
        <f aca="false">C13-D13</f>
        <v>104</v>
      </c>
      <c r="F13" s="30" t="n">
        <f aca="false">IF(D13=0,"N/A",E13/D13)</f>
        <v>0.160246533127889</v>
      </c>
    </row>
    <row r="14" customFormat="false" ht="15" hidden="false" customHeight="false" outlineLevel="0" collapsed="false">
      <c r="B14" s="29" t="s">
        <v>64</v>
      </c>
      <c r="C14" s="13" t="n">
        <v>203</v>
      </c>
      <c r="D14" s="13" t="n">
        <v>119</v>
      </c>
      <c r="E14" s="14" t="n">
        <f aca="false">C14-D14</f>
        <v>84</v>
      </c>
      <c r="F14" s="30" t="n">
        <f aca="false">IF(D14=0,"N/A",E14/D14)</f>
        <v>0.705882352941177</v>
      </c>
    </row>
    <row r="15" customFormat="false" ht="15" hidden="false" customHeight="false" outlineLevel="0" collapsed="false">
      <c r="B15" s="29" t="s">
        <v>65</v>
      </c>
      <c r="C15" s="13" t="n">
        <v>87</v>
      </c>
      <c r="D15" s="13" t="n">
        <v>72</v>
      </c>
      <c r="E15" s="14" t="n">
        <f aca="false">C15-D15</f>
        <v>15</v>
      </c>
      <c r="F15" s="30" t="n">
        <f aca="false">IF(D15=0,"N/A",E15/D15)</f>
        <v>0.208333333333333</v>
      </c>
    </row>
    <row r="16" customFormat="false" ht="15" hidden="false" customHeight="false" outlineLevel="0" collapsed="false">
      <c r="B16" s="31" t="s">
        <v>66</v>
      </c>
      <c r="C16" s="32" t="n">
        <f aca="false">C13+C14+C15</f>
        <v>1043</v>
      </c>
      <c r="D16" s="32" t="n">
        <f aca="false">D13+D14+D15</f>
        <v>840</v>
      </c>
      <c r="E16" s="32" t="n">
        <f aca="false">C16-D16</f>
        <v>203</v>
      </c>
      <c r="F16" s="33" t="n">
        <f aca="false">IF(D16=0,"N/A",E16/D16)</f>
        <v>0.241666666666667</v>
      </c>
    </row>
    <row r="18" customFormat="false" ht="15" hidden="false" customHeight="false" outlineLevel="0" collapsed="false">
      <c r="B18" s="27" t="s">
        <v>67</v>
      </c>
      <c r="C18" s="28"/>
      <c r="D18" s="28"/>
      <c r="E18" s="28"/>
      <c r="F18" s="28"/>
    </row>
    <row r="19" customFormat="false" ht="15" hidden="false" customHeight="false" outlineLevel="0" collapsed="false">
      <c r="B19" s="29" t="s">
        <v>68</v>
      </c>
      <c r="C19" s="13" t="n">
        <v>428</v>
      </c>
      <c r="D19" s="13" t="n">
        <v>403</v>
      </c>
      <c r="E19" s="14" t="n">
        <f aca="false">C19-D19</f>
        <v>25</v>
      </c>
      <c r="F19" s="30" t="n">
        <f aca="false">IF(D19=0,"N/A",E19/D19)</f>
        <v>0.0620347394540943</v>
      </c>
    </row>
    <row r="20" customFormat="false" ht="15" hidden="false" customHeight="false" outlineLevel="0" collapsed="false">
      <c r="B20" s="29" t="s">
        <v>69</v>
      </c>
      <c r="C20" s="13" t="n">
        <v>614</v>
      </c>
      <c r="D20" s="13" t="n">
        <v>543</v>
      </c>
      <c r="E20" s="14" t="n">
        <f aca="false">C20-D20</f>
        <v>71</v>
      </c>
      <c r="F20" s="30" t="n">
        <f aca="false">IF(D20=0,"N/A",E20/D20)</f>
        <v>0.130755064456722</v>
      </c>
    </row>
    <row r="21" customFormat="false" ht="15" hidden="false" customHeight="false" outlineLevel="0" collapsed="false">
      <c r="B21" s="29" t="s">
        <v>70</v>
      </c>
      <c r="C21" s="13" t="n">
        <v>371</v>
      </c>
      <c r="D21" s="13" t="n">
        <v>392</v>
      </c>
      <c r="E21" s="14" t="n">
        <f aca="false">C21-D21</f>
        <v>-21</v>
      </c>
      <c r="F21" s="30" t="n">
        <f aca="false">IF(D21=0,"N/A",E21/D21)</f>
        <v>-0.0535714285714286</v>
      </c>
    </row>
    <row r="22" customFormat="false" ht="15" hidden="false" customHeight="false" outlineLevel="0" collapsed="false">
      <c r="B22" s="31" t="s">
        <v>71</v>
      </c>
      <c r="C22" s="32" t="n">
        <f aca="false">(C7+C8+C9)*100/(C14+C15+C16)</f>
        <v>3594.74868717179</v>
      </c>
      <c r="D22" s="32" t="n">
        <f aca="false">(D7+D8+D9)*100/(D14+D15+D16)</f>
        <v>3441.41610087294</v>
      </c>
      <c r="E22" s="32" t="n">
        <f aca="false">C22-D22</f>
        <v>153.332586298854</v>
      </c>
      <c r="F22" s="33" t="n">
        <f aca="false">IF(D22=0,"N/A",E22/D22)</f>
        <v>0.0445550848268421</v>
      </c>
    </row>
    <row r="24" customFormat="false" ht="15" hidden="false" customHeight="false" outlineLevel="0" collapsed="false">
      <c r="B24" s="27" t="s">
        <v>72</v>
      </c>
      <c r="C24" s="28"/>
      <c r="D24" s="28"/>
      <c r="E24" s="28"/>
      <c r="F24" s="28"/>
    </row>
    <row r="25" customFormat="false" ht="15" hidden="false" customHeight="false" outlineLevel="0" collapsed="false">
      <c r="B25" s="29" t="s">
        <v>73</v>
      </c>
      <c r="C25" s="34" t="n">
        <v>18.4</v>
      </c>
      <c r="D25" s="34" t="n">
        <v>17</v>
      </c>
      <c r="E25" s="35" t="n">
        <f aca="false">C25-D25</f>
        <v>1.4</v>
      </c>
      <c r="F25" s="30" t="n">
        <f aca="false">IF(D25=0,"N/A",E25/D25)</f>
        <v>0.0823529411764705</v>
      </c>
    </row>
    <row r="26" customFormat="false" ht="15" hidden="false" customHeight="false" outlineLevel="0" collapsed="false">
      <c r="B26" s="29" t="s">
        <v>74</v>
      </c>
      <c r="C26" s="34" t="n">
        <v>5.1</v>
      </c>
      <c r="D26" s="34" t="n">
        <v>2.9</v>
      </c>
      <c r="E26" s="35" t="n">
        <f aca="false">C26-D26</f>
        <v>2.2</v>
      </c>
      <c r="F26" s="30" t="n">
        <f aca="false">IF(D26=0,"N/A",E26/D26)</f>
        <v>0.758620689655172</v>
      </c>
    </row>
    <row r="27" customFormat="false" ht="15" hidden="false" customHeight="false" outlineLevel="0" collapsed="false">
      <c r="B27" s="29" t="s">
        <v>75</v>
      </c>
      <c r="C27" s="13" t="n">
        <v>247</v>
      </c>
      <c r="D27" s="13" t="n">
        <v>209</v>
      </c>
      <c r="E27" s="14" t="n">
        <f aca="false">C27-D27</f>
        <v>38</v>
      </c>
      <c r="F27" s="30" t="n">
        <f aca="false">IF(D27=0,"N/A",E27/D27)</f>
        <v>0.181818181818182</v>
      </c>
    </row>
    <row r="28" customFormat="false" ht="15" hidden="false" customHeight="false" outlineLevel="0" collapsed="false">
      <c r="B28" s="29" t="s">
        <v>76</v>
      </c>
      <c r="C28" s="13" t="n">
        <v>400</v>
      </c>
      <c r="D28" s="13" t="n">
        <v>328</v>
      </c>
      <c r="E28" s="14" t="n">
        <f aca="false">C28-D28</f>
        <v>72</v>
      </c>
      <c r="F28" s="30" t="n">
        <f aca="false">IF(D28=0,"N/A",E28/D28)</f>
        <v>0.219512195121951</v>
      </c>
    </row>
    <row r="29" customFormat="false" ht="15" hidden="false" customHeight="false" outlineLevel="0" collapsed="false">
      <c r="B29" s="29" t="s">
        <v>77</v>
      </c>
      <c r="C29" s="34" t="n">
        <v>7.4</v>
      </c>
      <c r="D29" s="34" t="n">
        <v>2.5</v>
      </c>
      <c r="E29" s="35" t="n">
        <f aca="false">C29-D29</f>
        <v>4.9</v>
      </c>
      <c r="F29" s="30" t="n">
        <f aca="false">IF(D29=0,"N/A",E29/D29)</f>
        <v>1.96</v>
      </c>
    </row>
    <row r="30" customFormat="false" ht="15" hidden="false" customHeight="false" outlineLevel="0" collapsed="false">
      <c r="B30" s="29" t="s">
        <v>78</v>
      </c>
      <c r="C30" s="13" t="n">
        <v>526</v>
      </c>
      <c r="D30" s="13" t="n">
        <v>377</v>
      </c>
      <c r="E30" s="14" t="n">
        <f aca="false">C30-D30</f>
        <v>149</v>
      </c>
      <c r="F30" s="30" t="n">
        <f aca="false">IF(D30=0,"N/A",E30/D30)</f>
        <v>0.395225464190981</v>
      </c>
    </row>
    <row r="32" customFormat="false" ht="15" hidden="false" customHeight="false" outlineLevel="0" collapsed="false">
      <c r="B32" s="27" t="s">
        <v>79</v>
      </c>
      <c r="C32" s="28"/>
      <c r="D32" s="28"/>
      <c r="E32" s="28"/>
      <c r="F32" s="28"/>
    </row>
    <row r="33" customFormat="false" ht="15" hidden="false" customHeight="false" outlineLevel="0" collapsed="false">
      <c r="B33" s="29" t="s">
        <v>80</v>
      </c>
      <c r="C33" s="13" t="n">
        <v>797</v>
      </c>
      <c r="D33" s="13" t="n">
        <v>472</v>
      </c>
      <c r="E33" s="14" t="n">
        <f aca="false">C33-D33</f>
        <v>325</v>
      </c>
      <c r="F33" s="30" t="n">
        <f aca="false">IF(D33=0,"N/A",E33/D33)</f>
        <v>0.688559322033898</v>
      </c>
    </row>
    <row r="34" customFormat="false" ht="15" hidden="false" customHeight="false" outlineLevel="0" collapsed="false">
      <c r="B34" s="29" t="s">
        <v>81</v>
      </c>
      <c r="C34" s="34" t="n">
        <v>4.8</v>
      </c>
      <c r="D34" s="34" t="n">
        <v>3.8</v>
      </c>
      <c r="E34" s="35" t="n">
        <f aca="false">C34-D34</f>
        <v>1</v>
      </c>
      <c r="F34" s="30" t="n">
        <f aca="false">IF(D34=0,"N/A",E34/D34)</f>
        <v>0.263157894736842</v>
      </c>
    </row>
    <row r="36" customFormat="false" ht="15" hidden="false" customHeight="false" outlineLevel="0" collapsed="false">
      <c r="B36" s="36" t="s">
        <v>82</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4" min="3" style="0" width="20"/>
    <col collapsed="false" customWidth="true" hidden="false" outlineLevel="0" max="6" min="5" style="0" width="18"/>
    <col collapsed="false" customWidth="true" hidden="false" outlineLevel="0" max="7" min="7" style="0" width="3"/>
  </cols>
  <sheetData>
    <row r="2" customFormat="false" ht="30" hidden="false" customHeight="true" outlineLevel="0" collapsed="false">
      <c r="B2" s="24" t="s">
        <v>83</v>
      </c>
      <c r="C2" s="24"/>
      <c r="D2" s="24"/>
      <c r="E2" s="24"/>
      <c r="F2" s="24"/>
    </row>
    <row r="3" customFormat="false" ht="15" hidden="false" customHeight="false" outlineLevel="0" collapsed="false">
      <c r="B3" s="25" t="s">
        <v>84</v>
      </c>
    </row>
    <row r="5" customFormat="false" ht="15" hidden="false" customHeight="false" outlineLevel="0" collapsed="false">
      <c r="B5" s="26" t="s">
        <v>85</v>
      </c>
      <c r="C5" s="26" t="s">
        <v>86</v>
      </c>
      <c r="D5" s="26" t="s">
        <v>87</v>
      </c>
      <c r="E5" s="26" t="s">
        <v>14</v>
      </c>
      <c r="F5" s="26" t="s">
        <v>56</v>
      </c>
    </row>
    <row r="6" customFormat="false" ht="15" hidden="false" customHeight="false" outlineLevel="0" collapsed="false">
      <c r="B6" s="27" t="s">
        <v>88</v>
      </c>
      <c r="C6" s="28"/>
      <c r="D6" s="28"/>
      <c r="E6" s="28"/>
      <c r="F6" s="28"/>
    </row>
    <row r="7" customFormat="false" ht="15" hidden="false" customHeight="false" outlineLevel="0" collapsed="false">
      <c r="B7" s="29" t="s">
        <v>89</v>
      </c>
      <c r="C7" s="13" t="n">
        <v>7792</v>
      </c>
      <c r="D7" s="13" t="n">
        <v>6046</v>
      </c>
      <c r="E7" s="14" t="n">
        <f aca="false">C7-D7</f>
        <v>1746</v>
      </c>
      <c r="F7" s="30" t="n">
        <f aca="false">IF(D7=0,"N/A",E7/D7)</f>
        <v>0.288785974197817</v>
      </c>
    </row>
    <row r="8" customFormat="false" ht="15" hidden="false" customHeight="false" outlineLevel="0" collapsed="false">
      <c r="B8" s="29" t="s">
        <v>90</v>
      </c>
      <c r="C8" s="13" t="n">
        <v>2301</v>
      </c>
      <c r="D8" s="13" t="n">
        <v>806</v>
      </c>
      <c r="E8" s="14" t="n">
        <f aca="false">C8-D8</f>
        <v>1495</v>
      </c>
      <c r="F8" s="30" t="n">
        <f aca="false">IF(D8=0,"N/A",E8/D8)</f>
        <v>1.85483870967742</v>
      </c>
    </row>
    <row r="9" customFormat="false" ht="15" hidden="false" customHeight="false" outlineLevel="0" collapsed="false">
      <c r="B9" s="29" t="s">
        <v>91</v>
      </c>
      <c r="C9" s="13" t="n">
        <v>258</v>
      </c>
      <c r="D9" s="13" t="n">
        <v>171</v>
      </c>
      <c r="E9" s="14" t="n">
        <f aca="false">C9-D9</f>
        <v>87</v>
      </c>
      <c r="F9" s="30" t="n">
        <f aca="false">IF(D9=0,"N/A",E9/D9)</f>
        <v>0.508771929824561</v>
      </c>
    </row>
    <row r="10" customFormat="false" ht="15" hidden="false" customHeight="false" outlineLevel="0" collapsed="false">
      <c r="B10" s="29" t="s">
        <v>92</v>
      </c>
      <c r="C10" s="13" t="n">
        <v>3172</v>
      </c>
      <c r="D10" s="13" t="n">
        <v>1506</v>
      </c>
      <c r="E10" s="14" t="n">
        <f aca="false">C10-D10</f>
        <v>1666</v>
      </c>
      <c r="F10" s="30" t="n">
        <f aca="false">IF(D10=0,"N/A",E10/D10)</f>
        <v>1.1062416998672</v>
      </c>
    </row>
    <row r="11" customFormat="false" ht="15" hidden="false" customHeight="false" outlineLevel="0" collapsed="false">
      <c r="B11" s="29" t="s">
        <v>93</v>
      </c>
      <c r="C11" s="13" t="n">
        <v>22</v>
      </c>
      <c r="D11" s="13" t="n">
        <v>63</v>
      </c>
      <c r="E11" s="14" t="n">
        <f aca="false">C11-D11</f>
        <v>-41</v>
      </c>
      <c r="F11" s="30" t="n">
        <f aca="false">IF(D11=0,"N/A",E11/D11)</f>
        <v>-0.650793650793651</v>
      </c>
    </row>
    <row r="12" customFormat="false" ht="15" hidden="false" customHeight="false" outlineLevel="0" collapsed="false">
      <c r="B12" s="31" t="s">
        <v>94</v>
      </c>
      <c r="C12" s="32" t="n">
        <f aca="false">SUM(C7:C11)</f>
        <v>13545</v>
      </c>
      <c r="D12" s="32" t="n">
        <f aca="false">SUM(D7:D11)</f>
        <v>8592</v>
      </c>
      <c r="E12" s="32" t="n">
        <f aca="false">C12-D12</f>
        <v>4953</v>
      </c>
      <c r="F12" s="33" t="n">
        <f aca="false">IF(D12=0,"N/A",E12/D12)</f>
        <v>0.576466480446927</v>
      </c>
    </row>
    <row r="14" customFormat="false" ht="15" hidden="false" customHeight="false" outlineLevel="0" collapsed="false">
      <c r="B14" s="27" t="s">
        <v>95</v>
      </c>
      <c r="C14" s="28"/>
      <c r="D14" s="28"/>
      <c r="E14" s="28"/>
      <c r="F14" s="28"/>
    </row>
    <row r="15" customFormat="false" ht="15" hidden="false" customHeight="false" outlineLevel="0" collapsed="false">
      <c r="B15" s="29" t="s">
        <v>89</v>
      </c>
      <c r="C15" s="13" t="n">
        <v>912</v>
      </c>
      <c r="D15" s="13" t="n">
        <v>-5</v>
      </c>
      <c r="E15" s="14" t="n">
        <f aca="false">C15-D15</f>
        <v>917</v>
      </c>
      <c r="F15" s="30" t="n">
        <f aca="false">IF(D15=0,"N/A",E15/ABS(D15))</f>
        <v>183.4</v>
      </c>
    </row>
    <row r="16" customFormat="false" ht="15" hidden="false" customHeight="false" outlineLevel="0" collapsed="false">
      <c r="B16" s="29" t="s">
        <v>90</v>
      </c>
      <c r="C16" s="13" t="n">
        <v>-384</v>
      </c>
      <c r="D16" s="13" t="n">
        <v>-503</v>
      </c>
      <c r="E16" s="14" t="n">
        <f aca="false">C16-D16</f>
        <v>119</v>
      </c>
      <c r="F16" s="30" t="n">
        <f aca="false">IF(D16=0,"N/A",E16/ABS(D16))</f>
        <v>0.236580516898608</v>
      </c>
    </row>
    <row r="17" customFormat="false" ht="15" hidden="false" customHeight="false" outlineLevel="0" collapsed="false">
      <c r="B17" s="29" t="s">
        <v>91</v>
      </c>
      <c r="C17" s="13" t="n">
        <v>-6</v>
      </c>
      <c r="D17" s="13" t="n">
        <v>-12</v>
      </c>
      <c r="E17" s="14" t="n">
        <f aca="false">C17-D17</f>
        <v>6</v>
      </c>
      <c r="F17" s="30" t="n">
        <f aca="false">IF(D17=0,"N/A",E17/ABS(D17))</f>
        <v>0.5</v>
      </c>
    </row>
    <row r="18" customFormat="false" ht="15" hidden="false" customHeight="false" outlineLevel="0" collapsed="false">
      <c r="B18" s="29" t="s">
        <v>92</v>
      </c>
      <c r="C18" s="13" t="n">
        <v>-126</v>
      </c>
      <c r="D18" s="13" t="n">
        <v>-181</v>
      </c>
      <c r="E18" s="14" t="n">
        <f aca="false">C18-D18</f>
        <v>55</v>
      </c>
      <c r="F18" s="30" t="n">
        <f aca="false">IF(D18=0,"N/A",E18/ABS(D18))</f>
        <v>0.303867403314917</v>
      </c>
    </row>
    <row r="19" customFormat="false" ht="15" hidden="false" customHeight="false" outlineLevel="0" collapsed="false">
      <c r="B19" s="29" t="s">
        <v>96</v>
      </c>
      <c r="C19" s="13" t="n">
        <v>-24</v>
      </c>
      <c r="D19" s="13" t="n">
        <v>-4</v>
      </c>
      <c r="E19" s="14" t="n">
        <f aca="false">C19-D19</f>
        <v>-20</v>
      </c>
      <c r="F19" s="30" t="n">
        <f aca="false">IF(D19=0,"N/A",E19/ABS(D19))</f>
        <v>-5</v>
      </c>
    </row>
    <row r="20" customFormat="false" ht="15" hidden="false" customHeight="false" outlineLevel="0" collapsed="false">
      <c r="B20" s="31" t="s">
        <v>97</v>
      </c>
      <c r="C20" s="32" t="n">
        <f aca="false">SUM(C15:C19)</f>
        <v>372</v>
      </c>
      <c r="D20" s="32" t="n">
        <f aca="false">SUM(D15:D19)</f>
        <v>-705</v>
      </c>
      <c r="E20" s="32" t="n">
        <f aca="false">C20-D20</f>
        <v>1077</v>
      </c>
      <c r="F20" s="33" t="n">
        <f aca="false">IF(D20=0,"N/A",E20/ABS(D20))</f>
        <v>1.52765957446809</v>
      </c>
    </row>
    <row r="22" customFormat="false" ht="15" hidden="false" customHeight="false" outlineLevel="0" collapsed="false">
      <c r="B22" s="27" t="s">
        <v>98</v>
      </c>
      <c r="C22" s="28"/>
      <c r="D22" s="28"/>
      <c r="E22" s="28"/>
      <c r="F22" s="28"/>
    </row>
    <row r="23" customFormat="false" ht="15" hidden="false" customHeight="false" outlineLevel="0" collapsed="false">
      <c r="B23" s="29" t="s">
        <v>89</v>
      </c>
      <c r="C23" s="30" t="n">
        <f aca="false">IF(C7=0,0,C15/C7)</f>
        <v>0.117043121149897</v>
      </c>
      <c r="D23" s="30" t="n">
        <f aca="false">IF(D7=0,0,D15/D7)</f>
        <v>-0.000826993053258353</v>
      </c>
    </row>
    <row r="24" customFormat="false" ht="15" hidden="false" customHeight="false" outlineLevel="0" collapsed="false">
      <c r="B24" s="29" t="s">
        <v>90</v>
      </c>
      <c r="C24" s="30" t="n">
        <f aca="false">IF(C8=0,0,C16/C8)</f>
        <v>-0.166883963494133</v>
      </c>
      <c r="D24" s="30" t="n">
        <f aca="false">IF(D8=0,0,D16/D8)</f>
        <v>-0.624069478908189</v>
      </c>
    </row>
    <row r="25" customFormat="false" ht="15" hidden="false" customHeight="false" outlineLevel="0" collapsed="false">
      <c r="B25" s="29" t="s">
        <v>91</v>
      </c>
      <c r="C25" s="30" t="n">
        <f aca="false">IF(C9=0,0,C17/C9)</f>
        <v>-0.0232558139534884</v>
      </c>
      <c r="D25" s="30" t="n">
        <f aca="false">IF(D9=0,0,D17/D9)</f>
        <v>-0.0701754385964912</v>
      </c>
    </row>
    <row r="26" customFormat="false" ht="15" hidden="false" customHeight="false" outlineLevel="0" collapsed="false">
      <c r="B26" s="29" t="s">
        <v>92</v>
      </c>
      <c r="C26" s="30" t="n">
        <f aca="false">IF(C10=0,0,C18/C10)</f>
        <v>-0.0397225725094578</v>
      </c>
      <c r="D26" s="30" t="n">
        <f aca="false">IF(D10=0,0,D18/D10)</f>
        <v>-0.120185922974768</v>
      </c>
    </row>
    <row r="27" customFormat="false" ht="15" hidden="false" customHeight="false" outlineLevel="0" collapsed="false">
      <c r="B27" s="29" t="s">
        <v>96</v>
      </c>
      <c r="C27" s="30" t="n">
        <f aca="false">IF(C11=0,0,C19/C11)</f>
        <v>-1.09090909090909</v>
      </c>
      <c r="D27" s="30" t="n">
        <f aca="false">IF(D11=0,0,D19/D11)</f>
        <v>-0.0634920634920635</v>
      </c>
    </row>
    <row r="28" customFormat="false" ht="15" hidden="false" customHeight="false" outlineLevel="0" collapsed="false">
      <c r="B28" s="31" t="s">
        <v>99</v>
      </c>
      <c r="C28" s="33" t="n">
        <f aca="false">IF(C13=0,0,C21/C13)</f>
        <v>0</v>
      </c>
      <c r="D28" s="33" t="n">
        <f aca="false">IF(D13=0,0,D21/D13)</f>
        <v>0</v>
      </c>
      <c r="E28" s="37"/>
      <c r="F28" s="37"/>
    </row>
    <row r="30" customFormat="false" ht="15" hidden="false" customHeight="false" outlineLevel="0" collapsed="false">
      <c r="B30" s="23" t="s">
        <v>100</v>
      </c>
      <c r="C30" s="23"/>
      <c r="D30" s="23"/>
      <c r="E30" s="23"/>
      <c r="F30" s="23"/>
    </row>
    <row r="31" customFormat="false" ht="15" hidden="false" customHeight="false" outlineLevel="0" collapsed="false">
      <c r="B31" s="36" t="s">
        <v>101</v>
      </c>
    </row>
  </sheetData>
  <mergeCells count="2">
    <mergeCell ref="B2:F2"/>
    <mergeCell ref="B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5"/>
    <col collapsed="false" customWidth="true" hidden="false" outlineLevel="0" max="3" min="3" style="0" width="8"/>
    <col collapsed="false" customWidth="true" hidden="false" outlineLevel="0" max="5" min="4" style="0" width="22"/>
    <col collapsed="false" customWidth="true" hidden="false" outlineLevel="0" max="7" min="6" style="0" width="20"/>
  </cols>
  <sheetData>
    <row r="2" customFormat="false" ht="30" hidden="false" customHeight="true" outlineLevel="0" collapsed="false">
      <c r="B2" s="24" t="s">
        <v>102</v>
      </c>
      <c r="C2" s="24"/>
      <c r="D2" s="24"/>
      <c r="E2" s="24"/>
      <c r="F2" s="24"/>
    </row>
    <row r="3" customFormat="false" ht="15" hidden="false" customHeight="false" outlineLevel="0" collapsed="false">
      <c r="B3" s="25" t="s">
        <v>103</v>
      </c>
    </row>
    <row r="5" customFormat="false" ht="15" hidden="false" customHeight="false" outlineLevel="0" collapsed="false">
      <c r="B5" s="26" t="s">
        <v>104</v>
      </c>
      <c r="C5" s="26" t="s">
        <v>105</v>
      </c>
      <c r="D5" s="26" t="s">
        <v>86</v>
      </c>
      <c r="E5" s="26" t="s">
        <v>87</v>
      </c>
      <c r="F5" s="26" t="s">
        <v>14</v>
      </c>
      <c r="G5" s="26" t="s">
        <v>15</v>
      </c>
    </row>
    <row r="6" customFormat="false" ht="15" hidden="false" customHeight="false" outlineLevel="0" collapsed="false">
      <c r="B6" s="27" t="s">
        <v>106</v>
      </c>
      <c r="C6" s="28"/>
      <c r="D6" s="28"/>
      <c r="E6" s="28"/>
      <c r="F6" s="28"/>
      <c r="G6" s="28"/>
    </row>
    <row r="7" customFormat="false" ht="15" hidden="false" customHeight="false" outlineLevel="0" collapsed="false">
      <c r="B7" s="4" t="s">
        <v>107</v>
      </c>
      <c r="C7" s="38" t="s">
        <v>108</v>
      </c>
      <c r="D7" s="13" t="n">
        <v>12114</v>
      </c>
      <c r="E7" s="13" t="n">
        <v>7079</v>
      </c>
      <c r="F7" s="14" t="n">
        <f aca="false">D7-E7</f>
        <v>5035</v>
      </c>
      <c r="G7" s="30" t="n">
        <f aca="false">IF(E7=0,"N/A",F7/E7)</f>
        <v>0.711258652352027</v>
      </c>
    </row>
    <row r="8" customFormat="false" ht="15" hidden="false" customHeight="false" outlineLevel="0" collapsed="false">
      <c r="B8" s="29" t="s">
        <v>109</v>
      </c>
      <c r="C8" s="38" t="s">
        <v>110</v>
      </c>
      <c r="D8" s="13" t="n">
        <v>847</v>
      </c>
      <c r="E8" s="13" t="n">
        <v>682</v>
      </c>
      <c r="F8" s="14" t="n">
        <f aca="false">D8-E8</f>
        <v>165</v>
      </c>
      <c r="G8" s="30" t="n">
        <f aca="false">IF(E8=0,"N/A",F8/E8)</f>
        <v>0.241935483870968</v>
      </c>
    </row>
    <row r="9" customFormat="false" ht="15" hidden="false" customHeight="false" outlineLevel="0" collapsed="false">
      <c r="B9" s="39" t="s">
        <v>111</v>
      </c>
      <c r="C9" s="37"/>
      <c r="D9" s="32" t="n">
        <f aca="false">D7+D8</f>
        <v>12961</v>
      </c>
      <c r="E9" s="32" t="n">
        <f aca="false">E7+E8</f>
        <v>7761</v>
      </c>
      <c r="F9" s="32" t="n">
        <f aca="false">D9-E9</f>
        <v>5200</v>
      </c>
      <c r="G9" s="33" t="n">
        <f aca="false">IF(E9=0,"N/A",F9/E9)</f>
        <v>0.670016750418761</v>
      </c>
    </row>
    <row r="11" customFormat="false" ht="15" hidden="false" customHeight="false" outlineLevel="0" collapsed="false">
      <c r="B11" s="27" t="s">
        <v>112</v>
      </c>
      <c r="C11" s="28"/>
      <c r="D11" s="28"/>
      <c r="E11" s="28"/>
      <c r="F11" s="28"/>
      <c r="G11" s="28"/>
    </row>
    <row r="12" customFormat="false" ht="15" hidden="false" customHeight="false" outlineLevel="0" collapsed="false">
      <c r="B12" s="29" t="s">
        <v>113</v>
      </c>
      <c r="C12" s="38" t="s">
        <v>114</v>
      </c>
      <c r="D12" s="13" t="n">
        <v>2887</v>
      </c>
      <c r="E12" s="13" t="n">
        <v>1438</v>
      </c>
      <c r="F12" s="14" t="n">
        <f aca="false">D12-E12</f>
        <v>1449</v>
      </c>
      <c r="G12" s="30" t="n">
        <f aca="false">IF(E12=0,"N/A",F12/E12)</f>
        <v>1.0076495132128</v>
      </c>
    </row>
    <row r="13" customFormat="false" ht="15" hidden="false" customHeight="false" outlineLevel="0" collapsed="false">
      <c r="B13" s="29" t="s">
        <v>115</v>
      </c>
      <c r="C13" s="38" t="s">
        <v>116</v>
      </c>
      <c r="D13" s="13" t="n">
        <v>-5</v>
      </c>
      <c r="E13" s="13" t="n">
        <v>-43</v>
      </c>
      <c r="F13" s="14" t="n">
        <f aca="false">D13-E13</f>
        <v>38</v>
      </c>
      <c r="G13" s="30" t="n">
        <f aca="false">IF(E13=0,"N/A",F13/E13)</f>
        <v>-0.883720930232558</v>
      </c>
    </row>
    <row r="14" customFormat="false" ht="15" hidden="false" customHeight="false" outlineLevel="0" collapsed="false">
      <c r="B14" s="29" t="s">
        <v>117</v>
      </c>
      <c r="C14" s="38" t="s">
        <v>118</v>
      </c>
      <c r="D14" s="13" t="n">
        <v>1659</v>
      </c>
      <c r="E14" s="13" t="n">
        <v>1465</v>
      </c>
      <c r="F14" s="14" t="n">
        <f aca="false">D14-E14</f>
        <v>194</v>
      </c>
      <c r="G14" s="30" t="n">
        <f aca="false">IF(E14=0,"N/A",F14/E14)</f>
        <v>0.132423208191126</v>
      </c>
    </row>
    <row r="15" customFormat="false" ht="15" hidden="false" customHeight="false" outlineLevel="0" collapsed="false">
      <c r="B15" s="29" t="s">
        <v>119</v>
      </c>
      <c r="C15" s="38" t="s">
        <v>120</v>
      </c>
      <c r="D15" s="13" t="n">
        <v>72</v>
      </c>
      <c r="E15" s="13" t="n">
        <v>49</v>
      </c>
      <c r="F15" s="14" t="n">
        <f aca="false">D15-E15</f>
        <v>23</v>
      </c>
      <c r="G15" s="30" t="n">
        <f aca="false">IF(E15=0,"N/A",F15/E15)</f>
        <v>0.469387755102041</v>
      </c>
    </row>
    <row r="16" customFormat="false" ht="15" hidden="false" customHeight="false" outlineLevel="0" collapsed="false">
      <c r="B16" s="29" t="s">
        <v>121</v>
      </c>
      <c r="C16" s="38" t="s">
        <v>122</v>
      </c>
      <c r="D16" s="13" t="n">
        <v>526</v>
      </c>
      <c r="E16" s="13" t="n">
        <v>437</v>
      </c>
      <c r="F16" s="14" t="n">
        <f aca="false">D16-E16</f>
        <v>89</v>
      </c>
      <c r="G16" s="30" t="n">
        <f aca="false">IF(E16=0,"N/A",F16/E16)</f>
        <v>0.203661327231121</v>
      </c>
    </row>
    <row r="17" customFormat="false" ht="15" hidden="false" customHeight="false" outlineLevel="0" collapsed="false">
      <c r="B17" s="29" t="s">
        <v>123</v>
      </c>
      <c r="C17" s="38" t="s">
        <v>124</v>
      </c>
      <c r="D17" s="13" t="n">
        <v>7531</v>
      </c>
      <c r="E17" s="13" t="n">
        <v>5429</v>
      </c>
      <c r="F17" s="14" t="n">
        <f aca="false">D17-E17</f>
        <v>2102</v>
      </c>
      <c r="G17" s="30" t="n">
        <f aca="false">IF(E17=0,"N/A",F17/E17)</f>
        <v>0.387179959476883</v>
      </c>
    </row>
    <row r="18" customFormat="false" ht="15" hidden="false" customHeight="false" outlineLevel="0" collapsed="false">
      <c r="B18" s="39" t="s">
        <v>125</v>
      </c>
      <c r="C18" s="37"/>
      <c r="D18" s="32" t="n">
        <f aca="false">SUM(D12:D17)</f>
        <v>12670</v>
      </c>
      <c r="E18" s="32" t="n">
        <f aca="false">SUM(E12:E17)</f>
        <v>8775</v>
      </c>
      <c r="F18" s="32" t="n">
        <f aca="false">D18-E18</f>
        <v>3895</v>
      </c>
      <c r="G18" s="33" t="n">
        <f aca="false">IF(E18=0,"N/A",F18/E18)</f>
        <v>0.443874643874644</v>
      </c>
    </row>
    <row r="20" customFormat="false" ht="15" hidden="false" customHeight="false" outlineLevel="0" collapsed="false">
      <c r="B20" s="4" t="s">
        <v>126</v>
      </c>
      <c r="D20" s="40" t="n">
        <f aca="false">D9-D18</f>
        <v>291</v>
      </c>
      <c r="E20" s="40" t="n">
        <f aca="false">E9-E18</f>
        <v>-1014</v>
      </c>
      <c r="F20" s="40" t="n">
        <f aca="false">D20-E20</f>
        <v>1305</v>
      </c>
      <c r="G20" s="41" t="n">
        <f aca="false">IF(E20=0,"N/A",F20/ABS(E20))</f>
        <v>1.28698224852071</v>
      </c>
    </row>
    <row r="22" customFormat="false" ht="15" hidden="false" customHeight="false" outlineLevel="0" collapsed="false">
      <c r="B22" s="27" t="s">
        <v>127</v>
      </c>
      <c r="C22" s="28"/>
      <c r="D22" s="28"/>
      <c r="E22" s="28"/>
      <c r="F22" s="28"/>
      <c r="G22" s="28"/>
    </row>
    <row r="23" customFormat="false" ht="15" hidden="false" customHeight="false" outlineLevel="0" collapsed="false">
      <c r="B23" s="29" t="s">
        <v>128</v>
      </c>
      <c r="D23" s="13" t="n">
        <v>0</v>
      </c>
      <c r="E23" s="13" t="n">
        <v>0</v>
      </c>
      <c r="F23" s="14" t="n">
        <f aca="false">D23-E23</f>
        <v>0</v>
      </c>
      <c r="G23" s="30" t="str">
        <f aca="false">IF(E23=0,"N/A",F23/E23)</f>
        <v>N/A</v>
      </c>
    </row>
    <row r="24" customFormat="false" ht="15" hidden="false" customHeight="false" outlineLevel="0" collapsed="false">
      <c r="B24" s="29" t="s">
        <v>129</v>
      </c>
      <c r="D24" s="13" t="n">
        <v>-65</v>
      </c>
      <c r="E24" s="13" t="n">
        <v>40</v>
      </c>
      <c r="F24" s="14" t="n">
        <f aca="false">D24-E24</f>
        <v>-105</v>
      </c>
      <c r="G24" s="30" t="n">
        <f aca="false">IF(E24=0,"N/A",F24/E24)</f>
        <v>-2.625</v>
      </c>
    </row>
    <row r="25" customFormat="false" ht="15" hidden="false" customHeight="false" outlineLevel="0" collapsed="false">
      <c r="B25" s="39" t="s">
        <v>130</v>
      </c>
      <c r="C25" s="37"/>
      <c r="D25" s="32" t="n">
        <f aca="false">SUM(D23:D24)</f>
        <v>-65</v>
      </c>
      <c r="E25" s="32" t="n">
        <f aca="false">SUM(E23:E24)</f>
        <v>40</v>
      </c>
      <c r="F25" s="32" t="n">
        <f aca="false">D25-E25</f>
        <v>-105</v>
      </c>
      <c r="G25" s="33" t="n">
        <f aca="false">IF(E25=0,"N/A",F25/E25)</f>
        <v>-2.625</v>
      </c>
    </row>
    <row r="27" customFormat="false" ht="15" hidden="false" customHeight="false" outlineLevel="0" collapsed="false">
      <c r="B27" s="42" t="s">
        <v>131</v>
      </c>
      <c r="C27" s="43"/>
      <c r="D27" s="44" t="n">
        <f aca="false">D20-D25</f>
        <v>356</v>
      </c>
      <c r="E27" s="44" t="n">
        <f aca="false">E20-E25</f>
        <v>-1054</v>
      </c>
      <c r="F27" s="44" t="n">
        <f aca="false">D27-E27</f>
        <v>1410</v>
      </c>
      <c r="G27" s="45" t="n">
        <f aca="false">IF(E27=0,"N/A",F27/ABS(E27))</f>
        <v>1.33776091081594</v>
      </c>
    </row>
    <row r="29" customFormat="false" ht="15" hidden="false" customHeight="false" outlineLevel="0" collapsed="false">
      <c r="B29" s="27" t="s">
        <v>132</v>
      </c>
      <c r="C29" s="28"/>
      <c r="D29" s="28"/>
      <c r="E29" s="28"/>
      <c r="F29" s="28"/>
      <c r="G29" s="28"/>
    </row>
    <row r="30" customFormat="false" ht="15" hidden="false" customHeight="false" outlineLevel="0" collapsed="false">
      <c r="B30" s="29" t="s">
        <v>133</v>
      </c>
      <c r="D30" s="13" t="n">
        <v>-4</v>
      </c>
      <c r="E30" s="13" t="n">
        <v>8</v>
      </c>
      <c r="F30" s="14" t="n">
        <f aca="false">D30-E30</f>
        <v>-12</v>
      </c>
    </row>
    <row r="31" customFormat="false" ht="15" hidden="false" customHeight="false" outlineLevel="0" collapsed="false">
      <c r="B31" s="29" t="s">
        <v>134</v>
      </c>
      <c r="D31" s="13" t="n">
        <v>18</v>
      </c>
      <c r="E31" s="13" t="n">
        <v>46</v>
      </c>
      <c r="F31" s="14" t="n">
        <f aca="false">D31-E31</f>
        <v>-28</v>
      </c>
    </row>
    <row r="32" customFormat="false" ht="15" hidden="false" customHeight="false" outlineLevel="0" collapsed="false">
      <c r="B32" s="39" t="s">
        <v>135</v>
      </c>
      <c r="C32" s="37"/>
      <c r="D32" s="32" t="n">
        <f aca="false">D30+D31</f>
        <v>14</v>
      </c>
      <c r="E32" s="32" t="n">
        <f aca="false">E30+E31</f>
        <v>54</v>
      </c>
      <c r="F32" s="32" t="n">
        <f aca="false">D32-E32</f>
        <v>-40</v>
      </c>
      <c r="G32" s="37"/>
    </row>
    <row r="34" customFormat="false" ht="15" hidden="false" customHeight="false" outlineLevel="0" collapsed="false">
      <c r="B34" s="42" t="s">
        <v>136</v>
      </c>
      <c r="C34" s="43"/>
      <c r="D34" s="44" t="n">
        <f aca="false">D27+D32</f>
        <v>370</v>
      </c>
      <c r="E34" s="44" t="n">
        <f aca="false">E27+E32</f>
        <v>-1000</v>
      </c>
      <c r="F34" s="44" t="n">
        <f aca="false">D34-E34</f>
        <v>1370</v>
      </c>
      <c r="G34" s="43"/>
    </row>
    <row r="36" customFormat="false" ht="15" hidden="false" customHeight="false" outlineLevel="0" collapsed="false">
      <c r="B36" s="27" t="s">
        <v>137</v>
      </c>
      <c r="C36" s="28"/>
      <c r="D36" s="28"/>
      <c r="E36" s="28"/>
      <c r="F36" s="28"/>
      <c r="G36" s="28"/>
    </row>
    <row r="37" customFormat="false" ht="15" hidden="false" customHeight="false" outlineLevel="0" collapsed="false">
      <c r="B37" s="29" t="s">
        <v>138</v>
      </c>
      <c r="D37" s="46" t="n">
        <v>0.41</v>
      </c>
      <c r="E37" s="46" t="n">
        <v>-1.2</v>
      </c>
      <c r="F37" s="47" t="n">
        <f aca="false">D37-E37</f>
        <v>1.61</v>
      </c>
    </row>
    <row r="38" customFormat="false" ht="15" hidden="false" customHeight="false" outlineLevel="0" collapsed="false">
      <c r="B38" s="29" t="s">
        <v>139</v>
      </c>
      <c r="D38" s="46" t="n">
        <v>0.4</v>
      </c>
      <c r="E38" s="46" t="n">
        <v>-1.2</v>
      </c>
      <c r="F38" s="47" t="n">
        <f aca="false">D38-E38</f>
        <v>1.6</v>
      </c>
    </row>
    <row r="40" customFormat="false" ht="15" hidden="false" customHeight="false" outlineLevel="0" collapsed="false">
      <c r="B40" s="23" t="s">
        <v>140</v>
      </c>
      <c r="C40" s="23"/>
      <c r="D40" s="23"/>
      <c r="E40" s="23"/>
      <c r="F40" s="23"/>
    </row>
  </sheetData>
  <mergeCells count="2">
    <mergeCell ref="B2:F2"/>
    <mergeCell ref="B40:F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5"/>
    <col collapsed="false" customWidth="true" hidden="false" outlineLevel="0" max="3" min="3" style="0" width="8"/>
    <col collapsed="false" customWidth="true" hidden="false" outlineLevel="0" max="5" min="4" style="0" width="22"/>
    <col collapsed="false" customWidth="true" hidden="false" outlineLevel="0" max="6" min="6" style="0" width="3"/>
  </cols>
  <sheetData>
    <row r="2" customFormat="false" ht="30" hidden="false" customHeight="true" outlineLevel="0" collapsed="false">
      <c r="B2" s="24" t="s">
        <v>141</v>
      </c>
      <c r="C2" s="24"/>
      <c r="D2" s="24"/>
      <c r="E2" s="24"/>
    </row>
    <row r="3" customFormat="false" ht="15" hidden="false" customHeight="false" outlineLevel="0" collapsed="false">
      <c r="B3" s="25" t="s">
        <v>142</v>
      </c>
    </row>
    <row r="5" customFormat="false" ht="15" hidden="false" customHeight="false" outlineLevel="0" collapsed="false">
      <c r="B5" s="26" t="s">
        <v>104</v>
      </c>
      <c r="C5" s="26" t="s">
        <v>105</v>
      </c>
      <c r="D5" s="26" t="s">
        <v>143</v>
      </c>
      <c r="E5" s="26" t="s">
        <v>144</v>
      </c>
    </row>
    <row r="6" customFormat="false" ht="15" hidden="false" customHeight="false" outlineLevel="0" collapsed="false">
      <c r="B6" s="27" t="s">
        <v>145</v>
      </c>
      <c r="C6" s="28"/>
      <c r="D6" s="28"/>
      <c r="E6" s="28"/>
    </row>
    <row r="7" customFormat="false" ht="15" hidden="false" customHeight="false" outlineLevel="0" collapsed="false">
      <c r="B7" s="27" t="s">
        <v>146</v>
      </c>
      <c r="C7" s="28"/>
      <c r="D7" s="28"/>
      <c r="E7" s="28"/>
    </row>
    <row r="8" customFormat="false" ht="15" hidden="false" customHeight="false" outlineLevel="0" collapsed="false">
      <c r="B8" s="29" t="s">
        <v>147</v>
      </c>
      <c r="C8" s="38" t="s">
        <v>148</v>
      </c>
      <c r="D8" s="13" t="n">
        <v>287</v>
      </c>
      <c r="E8" s="13" t="n">
        <v>208</v>
      </c>
    </row>
    <row r="9" customFormat="false" ht="15" hidden="false" customHeight="false" outlineLevel="0" collapsed="false">
      <c r="B9" s="29" t="s">
        <v>149</v>
      </c>
      <c r="C9" s="38" t="s">
        <v>148</v>
      </c>
      <c r="D9" s="13" t="n">
        <v>18</v>
      </c>
      <c r="E9" s="13" t="n">
        <v>7</v>
      </c>
    </row>
    <row r="10" customFormat="false" ht="15" hidden="false" customHeight="false" outlineLevel="0" collapsed="false">
      <c r="B10" s="29" t="s">
        <v>150</v>
      </c>
      <c r="C10" s="38" t="s">
        <v>151</v>
      </c>
      <c r="D10" s="13" t="n">
        <v>690</v>
      </c>
      <c r="E10" s="13" t="n">
        <v>427</v>
      </c>
    </row>
    <row r="11" customFormat="false" ht="15" hidden="false" customHeight="false" outlineLevel="0" collapsed="false">
      <c r="B11" s="29" t="s">
        <v>152</v>
      </c>
      <c r="C11" s="38" t="s">
        <v>153</v>
      </c>
      <c r="D11" s="13" t="n">
        <v>4717</v>
      </c>
      <c r="E11" s="13" t="n">
        <v>4717</v>
      </c>
    </row>
    <row r="12" customFormat="false" ht="15" hidden="false" customHeight="false" outlineLevel="0" collapsed="false">
      <c r="B12" s="29" t="s">
        <v>154</v>
      </c>
      <c r="C12" s="38" t="s">
        <v>153</v>
      </c>
      <c r="D12" s="13" t="n">
        <v>754</v>
      </c>
      <c r="E12" s="13" t="n">
        <v>991</v>
      </c>
    </row>
    <row r="13" customFormat="false" ht="15" hidden="false" customHeight="false" outlineLevel="0" collapsed="false">
      <c r="B13" s="29" t="s">
        <v>155</v>
      </c>
      <c r="C13" s="38" t="s">
        <v>156</v>
      </c>
      <c r="D13" s="13" t="n">
        <v>10365</v>
      </c>
      <c r="E13" s="13" t="n">
        <v>2280</v>
      </c>
    </row>
    <row r="14" customFormat="false" ht="15" hidden="false" customHeight="false" outlineLevel="0" collapsed="false">
      <c r="B14" s="29" t="s">
        <v>157</v>
      </c>
      <c r="C14" s="38" t="s">
        <v>158</v>
      </c>
      <c r="D14" s="13" t="n">
        <v>747</v>
      </c>
      <c r="E14" s="13" t="n">
        <v>1894</v>
      </c>
    </row>
    <row r="15" customFormat="false" ht="15" hidden="false" customHeight="false" outlineLevel="0" collapsed="false">
      <c r="B15" s="29" t="s">
        <v>159</v>
      </c>
      <c r="C15" s="38" t="s">
        <v>160</v>
      </c>
      <c r="D15" s="13" t="n">
        <v>221</v>
      </c>
      <c r="E15" s="13" t="n">
        <v>116</v>
      </c>
    </row>
    <row r="16" customFormat="false" ht="15" hidden="false" customHeight="false" outlineLevel="0" collapsed="false">
      <c r="B16" s="29" t="s">
        <v>161</v>
      </c>
      <c r="C16" s="38" t="s">
        <v>162</v>
      </c>
      <c r="D16" s="13" t="n">
        <v>99</v>
      </c>
      <c r="E16" s="13" t="n">
        <v>127</v>
      </c>
    </row>
    <row r="17" customFormat="false" ht="15" hidden="false" customHeight="false" outlineLevel="0" collapsed="false">
      <c r="B17" s="39" t="s">
        <v>163</v>
      </c>
      <c r="C17" s="37"/>
      <c r="D17" s="32" t="n">
        <f aca="false">SUM(D8:D16)</f>
        <v>17898</v>
      </c>
      <c r="E17" s="32" t="n">
        <f aca="false">SUM(E8:E16)</f>
        <v>10767</v>
      </c>
    </row>
    <row r="19" customFormat="false" ht="15" hidden="false" customHeight="false" outlineLevel="0" collapsed="false">
      <c r="B19" s="27" t="s">
        <v>164</v>
      </c>
      <c r="C19" s="28"/>
      <c r="D19" s="28"/>
      <c r="E19" s="28"/>
    </row>
    <row r="20" customFormat="false" ht="15" hidden="false" customHeight="false" outlineLevel="0" collapsed="false">
      <c r="B20" s="29" t="s">
        <v>165</v>
      </c>
      <c r="C20" s="38" t="s">
        <v>166</v>
      </c>
      <c r="D20" s="13" t="n">
        <v>88</v>
      </c>
      <c r="E20" s="13" t="n">
        <v>83</v>
      </c>
    </row>
    <row r="21" customFormat="false" ht="15" hidden="false" customHeight="false" outlineLevel="0" collapsed="false">
      <c r="B21" s="29" t="s">
        <v>155</v>
      </c>
      <c r="C21" s="38" t="s">
        <v>167</v>
      </c>
      <c r="D21" s="13" t="n">
        <v>1280</v>
      </c>
      <c r="E21" s="13" t="n">
        <v>4485</v>
      </c>
    </row>
    <row r="22" customFormat="false" ht="15" hidden="false" customHeight="false" outlineLevel="0" collapsed="false">
      <c r="B22" s="29" t="s">
        <v>168</v>
      </c>
      <c r="C22" s="38" t="s">
        <v>169</v>
      </c>
      <c r="D22" s="13" t="n">
        <v>794</v>
      </c>
      <c r="E22" s="13" t="n">
        <v>457</v>
      </c>
    </row>
    <row r="23" customFormat="false" ht="15" hidden="false" customHeight="false" outlineLevel="0" collapsed="false">
      <c r="B23" s="29" t="s">
        <v>170</v>
      </c>
      <c r="C23" s="38" t="s">
        <v>171</v>
      </c>
      <c r="D23" s="13" t="n">
        <v>309</v>
      </c>
      <c r="E23" s="13" t="n">
        <v>218</v>
      </c>
    </row>
    <row r="24" customFormat="false" ht="15" hidden="false" customHeight="false" outlineLevel="0" collapsed="false">
      <c r="B24" s="29" t="s">
        <v>172</v>
      </c>
      <c r="C24" s="38" t="s">
        <v>173</v>
      </c>
      <c r="D24" s="13" t="n">
        <v>422</v>
      </c>
      <c r="E24" s="13" t="n">
        <v>798</v>
      </c>
    </row>
    <row r="25" customFormat="false" ht="15" hidden="false" customHeight="false" outlineLevel="0" collapsed="false">
      <c r="B25" s="29" t="s">
        <v>174</v>
      </c>
      <c r="C25" s="38" t="s">
        <v>175</v>
      </c>
      <c r="D25" s="13" t="n">
        <v>0</v>
      </c>
      <c r="E25" s="13" t="n">
        <v>0</v>
      </c>
    </row>
    <row r="26" customFormat="false" ht="15" hidden="false" customHeight="false" outlineLevel="0" collapsed="false">
      <c r="B26" s="29" t="s">
        <v>157</v>
      </c>
      <c r="C26" s="38" t="s">
        <v>158</v>
      </c>
      <c r="D26" s="13" t="n">
        <v>2324</v>
      </c>
      <c r="E26" s="13" t="n">
        <v>4418</v>
      </c>
    </row>
    <row r="27" customFormat="false" ht="15" hidden="false" customHeight="false" outlineLevel="0" collapsed="false">
      <c r="B27" s="29" t="s">
        <v>176</v>
      </c>
      <c r="C27" s="38" t="s">
        <v>162</v>
      </c>
      <c r="D27" s="13" t="n">
        <v>241</v>
      </c>
      <c r="E27" s="13" t="n">
        <v>371</v>
      </c>
    </row>
    <row r="28" customFormat="false" ht="15" hidden="false" customHeight="false" outlineLevel="0" collapsed="false">
      <c r="B28" s="39" t="s">
        <v>177</v>
      </c>
      <c r="C28" s="37"/>
      <c r="D28" s="32" t="n">
        <f aca="false">SUM(D20:D27)</f>
        <v>5458</v>
      </c>
      <c r="E28" s="32" t="n">
        <f aca="false">SUM(E20:E27)</f>
        <v>10830</v>
      </c>
    </row>
    <row r="30" customFormat="false" ht="15" hidden="false" customHeight="false" outlineLevel="0" collapsed="false">
      <c r="B30" s="42" t="s">
        <v>178</v>
      </c>
      <c r="C30" s="43"/>
      <c r="D30" s="44" t="n">
        <f aca="false">D17+D28</f>
        <v>23356</v>
      </c>
      <c r="E30" s="44" t="n">
        <f aca="false">E17+E28</f>
        <v>21597</v>
      </c>
    </row>
    <row r="32" customFormat="false" ht="15" hidden="false" customHeight="false" outlineLevel="0" collapsed="false">
      <c r="B32" s="27" t="s">
        <v>179</v>
      </c>
      <c r="C32" s="28"/>
      <c r="D32" s="28"/>
      <c r="E32" s="28"/>
    </row>
    <row r="33" customFormat="false" ht="15" hidden="false" customHeight="false" outlineLevel="0" collapsed="false">
      <c r="B33" s="27" t="s">
        <v>180</v>
      </c>
      <c r="C33" s="28"/>
      <c r="D33" s="28"/>
      <c r="E33" s="28"/>
    </row>
    <row r="34" customFormat="false" ht="15" hidden="false" customHeight="false" outlineLevel="0" collapsed="false">
      <c r="B34" s="29" t="s">
        <v>181</v>
      </c>
      <c r="C34" s="38" t="s">
        <v>182</v>
      </c>
      <c r="D34" s="13" t="n">
        <v>868</v>
      </c>
      <c r="E34" s="13" t="n">
        <v>836</v>
      </c>
    </row>
    <row r="35" customFormat="false" ht="15" hidden="false" customHeight="false" outlineLevel="0" collapsed="false">
      <c r="B35" s="29" t="s">
        <v>183</v>
      </c>
      <c r="C35" s="38" t="s">
        <v>184</v>
      </c>
      <c r="D35" s="13" t="n">
        <v>19545</v>
      </c>
      <c r="E35" s="13" t="n">
        <v>18624</v>
      </c>
    </row>
    <row r="36" customFormat="false" ht="15" hidden="false" customHeight="false" outlineLevel="0" collapsed="false">
      <c r="B36" s="39" t="s">
        <v>185</v>
      </c>
      <c r="C36" s="37"/>
      <c r="D36" s="32" t="n">
        <f aca="false">SUM(D34:D35)</f>
        <v>20413</v>
      </c>
      <c r="E36" s="32" t="n">
        <f aca="false">SUM(E34:E35)</f>
        <v>19460</v>
      </c>
    </row>
    <row r="37" customFormat="false" ht="15" hidden="false" customHeight="false" outlineLevel="0" collapsed="false">
      <c r="B37" s="29" t="s">
        <v>186</v>
      </c>
      <c r="D37" s="13" t="n">
        <v>-7</v>
      </c>
      <c r="E37" s="13" t="n">
        <v>-7</v>
      </c>
    </row>
    <row r="38" customFormat="false" ht="15" hidden="false" customHeight="false" outlineLevel="0" collapsed="false">
      <c r="B38" s="39" t="s">
        <v>187</v>
      </c>
      <c r="C38" s="37"/>
      <c r="D38" s="32" t="n">
        <f aca="false">D36+D37</f>
        <v>20406</v>
      </c>
      <c r="E38" s="32" t="n">
        <f aca="false">E36+E37</f>
        <v>19453</v>
      </c>
    </row>
    <row r="40" customFormat="false" ht="15" hidden="false" customHeight="false" outlineLevel="0" collapsed="false">
      <c r="B40" s="27" t="s">
        <v>188</v>
      </c>
      <c r="C40" s="28"/>
      <c r="D40" s="28"/>
      <c r="E40" s="28"/>
    </row>
    <row r="41" customFormat="false" ht="15" hidden="false" customHeight="false" outlineLevel="0" collapsed="false">
      <c r="B41" s="29" t="s">
        <v>189</v>
      </c>
      <c r="C41" s="38"/>
      <c r="D41" s="13" t="n">
        <v>3</v>
      </c>
      <c r="E41" s="13" t="n">
        <v>0</v>
      </c>
    </row>
    <row r="42" customFormat="false" ht="15" hidden="false" customHeight="false" outlineLevel="0" collapsed="false">
      <c r="B42" s="29" t="s">
        <v>190</v>
      </c>
      <c r="C42" s="38" t="s">
        <v>151</v>
      </c>
      <c r="D42" s="13" t="n">
        <v>534</v>
      </c>
      <c r="E42" s="13" t="n">
        <v>349</v>
      </c>
    </row>
    <row r="43" customFormat="false" ht="15" hidden="false" customHeight="false" outlineLevel="0" collapsed="false">
      <c r="B43" s="29" t="s">
        <v>191</v>
      </c>
      <c r="C43" s="38"/>
      <c r="D43" s="13" t="n">
        <v>66</v>
      </c>
      <c r="E43" s="13" t="n">
        <v>59</v>
      </c>
    </row>
    <row r="44" customFormat="false" ht="15" hidden="false" customHeight="false" outlineLevel="0" collapsed="false">
      <c r="B44" s="29" t="s">
        <v>192</v>
      </c>
      <c r="C44" s="38"/>
      <c r="D44" s="13" t="n">
        <v>31</v>
      </c>
      <c r="E44" s="13" t="n">
        <v>22</v>
      </c>
    </row>
    <row r="45" customFormat="false" ht="15" hidden="false" customHeight="false" outlineLevel="0" collapsed="false">
      <c r="B45" s="29" t="s">
        <v>193</v>
      </c>
      <c r="C45" s="38"/>
      <c r="D45" s="13" t="n">
        <v>17</v>
      </c>
      <c r="E45" s="13" t="n">
        <v>18</v>
      </c>
    </row>
    <row r="46" customFormat="false" ht="15" hidden="false" customHeight="false" outlineLevel="0" collapsed="false">
      <c r="B46" s="39" t="s">
        <v>194</v>
      </c>
      <c r="C46" s="37"/>
      <c r="D46" s="32" t="n">
        <f aca="false">SUM(D41:D45)</f>
        <v>651</v>
      </c>
      <c r="E46" s="32" t="n">
        <f aca="false">SUM(E41:E45)</f>
        <v>448</v>
      </c>
    </row>
    <row r="48" customFormat="false" ht="15" hidden="false" customHeight="false" outlineLevel="0" collapsed="false">
      <c r="B48" s="27" t="s">
        <v>195</v>
      </c>
      <c r="C48" s="28"/>
      <c r="D48" s="28"/>
      <c r="E48" s="28"/>
    </row>
    <row r="49" customFormat="false" ht="15" hidden="false" customHeight="false" outlineLevel="0" collapsed="false">
      <c r="B49" s="29" t="s">
        <v>189</v>
      </c>
      <c r="C49" s="38"/>
      <c r="D49" s="13" t="n">
        <v>3</v>
      </c>
      <c r="E49" s="13" t="n">
        <v>2</v>
      </c>
    </row>
    <row r="50" customFormat="false" ht="15" hidden="false" customHeight="false" outlineLevel="0" collapsed="false">
      <c r="B50" s="29" t="s">
        <v>190</v>
      </c>
      <c r="C50" s="38" t="s">
        <v>151</v>
      </c>
      <c r="D50" s="13" t="n">
        <v>245</v>
      </c>
      <c r="E50" s="13" t="n">
        <v>215</v>
      </c>
    </row>
    <row r="51" customFormat="false" ht="15" hidden="false" customHeight="false" outlineLevel="0" collapsed="false">
      <c r="B51" s="29" t="s">
        <v>196</v>
      </c>
      <c r="C51" s="38"/>
      <c r="D51" s="13" t="n">
        <v>1150</v>
      </c>
      <c r="E51" s="13" t="n">
        <v>862</v>
      </c>
    </row>
    <row r="52" customFormat="false" ht="15" hidden="false" customHeight="false" outlineLevel="0" collapsed="false">
      <c r="B52" s="29" t="s">
        <v>191</v>
      </c>
      <c r="C52" s="38"/>
      <c r="D52" s="13" t="n">
        <v>321</v>
      </c>
      <c r="E52" s="13" t="n">
        <v>310</v>
      </c>
    </row>
    <row r="53" customFormat="false" ht="15" hidden="false" customHeight="false" outlineLevel="0" collapsed="false">
      <c r="B53" s="29" t="s">
        <v>192</v>
      </c>
      <c r="C53" s="38"/>
      <c r="D53" s="13" t="n">
        <v>28</v>
      </c>
      <c r="E53" s="13" t="n">
        <v>18</v>
      </c>
    </row>
    <row r="54" customFormat="false" ht="15" hidden="false" customHeight="false" outlineLevel="0" collapsed="false">
      <c r="B54" s="29" t="s">
        <v>197</v>
      </c>
      <c r="C54" s="38"/>
      <c r="D54" s="13" t="n">
        <v>5</v>
      </c>
      <c r="E54" s="13" t="n">
        <v>0</v>
      </c>
    </row>
    <row r="55" customFormat="false" ht="15" hidden="false" customHeight="false" outlineLevel="0" collapsed="false">
      <c r="B55" s="29" t="s">
        <v>198</v>
      </c>
      <c r="C55" s="38"/>
      <c r="D55" s="13" t="n">
        <v>547</v>
      </c>
      <c r="E55" s="13" t="n">
        <v>291</v>
      </c>
    </row>
    <row r="56" customFormat="false" ht="15" hidden="false" customHeight="false" outlineLevel="0" collapsed="false">
      <c r="B56" s="39" t="s">
        <v>199</v>
      </c>
      <c r="C56" s="37"/>
      <c r="D56" s="32" t="n">
        <f aca="false">SUM(D49:D55)</f>
        <v>2299</v>
      </c>
      <c r="E56" s="32" t="n">
        <f aca="false">SUM(E49:E55)</f>
        <v>1698</v>
      </c>
    </row>
    <row r="58" customFormat="false" ht="15" hidden="false" customHeight="false" outlineLevel="0" collapsed="false">
      <c r="B58" s="42" t="s">
        <v>200</v>
      </c>
      <c r="C58" s="43"/>
      <c r="D58" s="44" t="n">
        <f aca="false">D38+D46+D56</f>
        <v>23356</v>
      </c>
      <c r="E58" s="44" t="n">
        <f aca="false">E38+E46+E56</f>
        <v>21599</v>
      </c>
    </row>
    <row r="60" customFormat="false" ht="15" hidden="false" customHeight="false" outlineLevel="0" collapsed="false">
      <c r="B60" s="48" t="s">
        <v>201</v>
      </c>
      <c r="D60" s="49" t="n">
        <f aca="false">D30-D58</f>
        <v>0</v>
      </c>
      <c r="E60" s="49" t="n">
        <f aca="false">E30-E58</f>
        <v>-2</v>
      </c>
    </row>
    <row r="61" customFormat="false" ht="15" hidden="false" customHeight="false" outlineLevel="0" collapsed="false">
      <c r="B61" s="23" t="s">
        <v>202</v>
      </c>
      <c r="C61" s="23"/>
      <c r="D61" s="23"/>
      <c r="E61" s="23"/>
    </row>
  </sheetData>
  <mergeCells count="2">
    <mergeCell ref="B2:E2"/>
    <mergeCell ref="B61:E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22"/>
    <col collapsed="false" customWidth="true" hidden="false" outlineLevel="0" max="5" min="5" style="0" width="3"/>
  </cols>
  <sheetData>
    <row r="2" customFormat="false" ht="30" hidden="false" customHeight="true" outlineLevel="0" collapsed="false">
      <c r="B2" s="24" t="s">
        <v>203</v>
      </c>
      <c r="C2" s="24"/>
      <c r="D2" s="24"/>
    </row>
    <row r="3" customFormat="false" ht="15" hidden="false" customHeight="false" outlineLevel="0" collapsed="false">
      <c r="B3" s="25" t="s">
        <v>103</v>
      </c>
    </row>
    <row r="5" customFormat="false" ht="15" hidden="false" customHeight="false" outlineLevel="0" collapsed="false">
      <c r="B5" s="26" t="s">
        <v>104</v>
      </c>
      <c r="C5" s="26" t="s">
        <v>86</v>
      </c>
      <c r="D5" s="26" t="s">
        <v>87</v>
      </c>
    </row>
    <row r="6" customFormat="false" ht="15" hidden="false" customHeight="false" outlineLevel="0" collapsed="false">
      <c r="B6" s="27" t="s">
        <v>204</v>
      </c>
      <c r="C6" s="28"/>
      <c r="D6" s="28"/>
    </row>
    <row r="7" customFormat="false" ht="15" hidden="false" customHeight="false" outlineLevel="0" collapsed="false">
      <c r="B7" s="4" t="s">
        <v>126</v>
      </c>
      <c r="C7" s="13" t="n">
        <v>291</v>
      </c>
      <c r="D7" s="13" t="n">
        <v>-1015</v>
      </c>
    </row>
    <row r="8" customFormat="false" ht="15" hidden="false" customHeight="false" outlineLevel="0" collapsed="false">
      <c r="B8" s="29" t="s">
        <v>205</v>
      </c>
      <c r="C8" s="13" t="n">
        <v>526</v>
      </c>
      <c r="D8" s="13" t="n">
        <v>437</v>
      </c>
    </row>
    <row r="9" customFormat="false" ht="15" hidden="false" customHeight="false" outlineLevel="0" collapsed="false">
      <c r="B9" s="29" t="s">
        <v>206</v>
      </c>
      <c r="C9" s="13" t="n">
        <v>515</v>
      </c>
      <c r="D9" s="13" t="n">
        <v>506</v>
      </c>
    </row>
    <row r="10" customFormat="false" ht="15" hidden="false" customHeight="false" outlineLevel="0" collapsed="false">
      <c r="B10" s="29" t="s">
        <v>119</v>
      </c>
      <c r="C10" s="13" t="n">
        <v>72</v>
      </c>
      <c r="D10" s="13" t="n">
        <v>49</v>
      </c>
    </row>
    <row r="11" customFormat="false" ht="15" hidden="false" customHeight="false" outlineLevel="0" collapsed="false">
      <c r="B11" s="29" t="s">
        <v>207</v>
      </c>
      <c r="C11" s="13" t="n">
        <v>-720</v>
      </c>
      <c r="D11" s="13" t="n">
        <v>-560</v>
      </c>
    </row>
    <row r="12" customFormat="false" ht="15" hidden="false" customHeight="false" outlineLevel="0" collapsed="false">
      <c r="B12" s="29" t="s">
        <v>208</v>
      </c>
      <c r="C12" s="13" t="n">
        <v>-87</v>
      </c>
      <c r="D12" s="13" t="n">
        <v>-60</v>
      </c>
    </row>
    <row r="13" customFormat="false" ht="15" hidden="false" customHeight="false" outlineLevel="0" collapsed="false">
      <c r="B13" s="29" t="s">
        <v>209</v>
      </c>
      <c r="C13" s="13" t="n">
        <v>68</v>
      </c>
      <c r="D13" s="13" t="n">
        <v>30</v>
      </c>
    </row>
    <row r="14" customFormat="false" ht="15" hidden="false" customHeight="false" outlineLevel="0" collapsed="false">
      <c r="B14" s="29" t="s">
        <v>210</v>
      </c>
      <c r="C14" s="13" t="n">
        <v>3</v>
      </c>
      <c r="D14" s="13" t="n">
        <v>7</v>
      </c>
    </row>
    <row r="15" customFormat="false" ht="15" hidden="false" customHeight="false" outlineLevel="0" collapsed="false">
      <c r="B15" s="29" t="s">
        <v>211</v>
      </c>
      <c r="C15" s="13" t="n">
        <v>1</v>
      </c>
      <c r="D15" s="13" t="n">
        <v>0</v>
      </c>
    </row>
    <row r="16" customFormat="false" ht="15" hidden="false" customHeight="false" outlineLevel="0" collapsed="false">
      <c r="B16" s="29" t="s">
        <v>212</v>
      </c>
      <c r="C16" s="13" t="n">
        <v>-49</v>
      </c>
      <c r="D16" s="13" t="n">
        <v>0</v>
      </c>
    </row>
    <row r="17" customFormat="false" ht="15" hidden="false" customHeight="false" outlineLevel="0" collapsed="false">
      <c r="B17" s="29" t="s">
        <v>213</v>
      </c>
      <c r="C17" s="13" t="n">
        <v>214</v>
      </c>
      <c r="D17" s="13" t="n">
        <v>-72</v>
      </c>
    </row>
    <row r="18" customFormat="false" ht="15" hidden="false" customHeight="false" outlineLevel="0" collapsed="false">
      <c r="B18" s="39" t="s">
        <v>214</v>
      </c>
      <c r="C18" s="32" t="n">
        <f aca="false">C7+SUM(C8:C17)</f>
        <v>834</v>
      </c>
      <c r="D18" s="32" t="n">
        <f aca="false">D7+SUM(D8:D17)</f>
        <v>-678</v>
      </c>
    </row>
    <row r="20" customFormat="false" ht="15" hidden="false" customHeight="false" outlineLevel="0" collapsed="false">
      <c r="B20" s="29" t="s">
        <v>215</v>
      </c>
      <c r="C20" s="13" t="n">
        <v>-337</v>
      </c>
      <c r="D20" s="13" t="n">
        <v>103</v>
      </c>
    </row>
    <row r="21" customFormat="false" ht="15" hidden="false" customHeight="false" outlineLevel="0" collapsed="false">
      <c r="B21" s="29" t="s">
        <v>216</v>
      </c>
      <c r="C21" s="13" t="n">
        <v>-5</v>
      </c>
      <c r="D21" s="13" t="n">
        <v>-43</v>
      </c>
    </row>
    <row r="22" customFormat="false" ht="15" hidden="false" customHeight="false" outlineLevel="0" collapsed="false">
      <c r="B22" s="29" t="s">
        <v>217</v>
      </c>
      <c r="C22" s="13" t="n">
        <v>3241</v>
      </c>
      <c r="D22" s="13" t="n">
        <v>-765</v>
      </c>
    </row>
    <row r="23" customFormat="false" ht="15" hidden="false" customHeight="false" outlineLevel="0" collapsed="false">
      <c r="B23" s="29" t="s">
        <v>218</v>
      </c>
      <c r="C23" s="13" t="n">
        <v>130</v>
      </c>
      <c r="D23" s="13" t="n">
        <v>-159</v>
      </c>
    </row>
    <row r="24" customFormat="false" ht="15" hidden="false" customHeight="false" outlineLevel="0" collapsed="false">
      <c r="B24" s="29" t="s">
        <v>219</v>
      </c>
      <c r="C24" s="13" t="n">
        <v>288</v>
      </c>
      <c r="D24" s="13" t="n">
        <v>-9</v>
      </c>
    </row>
    <row r="25" customFormat="false" ht="15" hidden="false" customHeight="false" outlineLevel="0" collapsed="false">
      <c r="B25" s="29" t="s">
        <v>220</v>
      </c>
      <c r="C25" s="13" t="n">
        <v>256</v>
      </c>
      <c r="D25" s="13" t="n">
        <v>-304</v>
      </c>
    </row>
    <row r="26" customFormat="false" ht="15" hidden="false" customHeight="false" outlineLevel="0" collapsed="false">
      <c r="B26" s="29" t="s">
        <v>221</v>
      </c>
      <c r="C26" s="13" t="n">
        <v>19</v>
      </c>
      <c r="D26" s="13" t="n">
        <v>-28</v>
      </c>
    </row>
    <row r="27" customFormat="false" ht="15" hidden="false" customHeight="false" outlineLevel="0" collapsed="false">
      <c r="B27" s="29" t="s">
        <v>222</v>
      </c>
      <c r="C27" s="13" t="n">
        <v>28</v>
      </c>
      <c r="D27" s="13" t="n">
        <v>-100</v>
      </c>
    </row>
    <row r="28" customFormat="false" ht="15" hidden="false" customHeight="false" outlineLevel="0" collapsed="false">
      <c r="B28" s="39" t="s">
        <v>223</v>
      </c>
      <c r="C28" s="32" t="n">
        <f aca="false">C18+SUM(C20:C27)</f>
        <v>4454</v>
      </c>
      <c r="D28" s="32" t="n">
        <f aca="false">D18+SUM(D20:D27)</f>
        <v>-1983</v>
      </c>
    </row>
    <row r="29" customFormat="false" ht="15" hidden="false" customHeight="false" outlineLevel="0" collapsed="false">
      <c r="B29" s="29" t="s">
        <v>224</v>
      </c>
      <c r="C29" s="13" t="n">
        <v>-50</v>
      </c>
      <c r="D29" s="13" t="n">
        <v>-29</v>
      </c>
    </row>
    <row r="30" customFormat="false" ht="15" hidden="false" customHeight="false" outlineLevel="0" collapsed="false">
      <c r="B30" s="39" t="s">
        <v>225</v>
      </c>
      <c r="C30" s="50" t="n">
        <f aca="false">C28+C29</f>
        <v>4404</v>
      </c>
      <c r="D30" s="50" t="n">
        <f aca="false">D28+D29</f>
        <v>-2012</v>
      </c>
    </row>
    <row r="32" customFormat="false" ht="15" hidden="false" customHeight="false" outlineLevel="0" collapsed="false">
      <c r="B32" s="27" t="s">
        <v>226</v>
      </c>
      <c r="C32" s="28"/>
      <c r="D32" s="28"/>
    </row>
    <row r="33" customFormat="false" ht="15" hidden="false" customHeight="false" outlineLevel="0" collapsed="false">
      <c r="B33" s="29" t="s">
        <v>227</v>
      </c>
      <c r="C33" s="13" t="n">
        <v>-202</v>
      </c>
      <c r="D33" s="13" t="n">
        <v>-140</v>
      </c>
    </row>
    <row r="34" customFormat="false" ht="15" hidden="false" customHeight="false" outlineLevel="0" collapsed="false">
      <c r="B34" s="29" t="s">
        <v>228</v>
      </c>
      <c r="C34" s="13" t="n">
        <v>1</v>
      </c>
      <c r="D34" s="13" t="n">
        <v>0</v>
      </c>
    </row>
    <row r="35" customFormat="false" ht="15" hidden="false" customHeight="false" outlineLevel="0" collapsed="false">
      <c r="B35" s="29" t="s">
        <v>229</v>
      </c>
      <c r="C35" s="13" t="n">
        <v>-34612</v>
      </c>
      <c r="D35" s="13" t="n">
        <v>-12745</v>
      </c>
    </row>
    <row r="36" customFormat="false" ht="15" hidden="false" customHeight="false" outlineLevel="0" collapsed="false">
      <c r="B36" s="29" t="s">
        <v>230</v>
      </c>
      <c r="C36" s="13" t="n">
        <v>27172</v>
      </c>
      <c r="D36" s="13" t="n">
        <v>8406</v>
      </c>
    </row>
    <row r="37" customFormat="false" ht="15" hidden="false" customHeight="false" outlineLevel="0" collapsed="false">
      <c r="B37" s="29" t="s">
        <v>231</v>
      </c>
      <c r="C37" s="13" t="n">
        <v>720</v>
      </c>
      <c r="D37" s="13" t="n">
        <v>560</v>
      </c>
    </row>
    <row r="38" customFormat="false" ht="15" hidden="false" customHeight="false" outlineLevel="0" collapsed="false">
      <c r="B38" s="29" t="s">
        <v>232</v>
      </c>
      <c r="C38" s="13" t="n">
        <v>0</v>
      </c>
      <c r="D38" s="13" t="n">
        <v>-3</v>
      </c>
    </row>
    <row r="39" customFormat="false" ht="15" hidden="false" customHeight="false" outlineLevel="0" collapsed="false">
      <c r="B39" s="29" t="s">
        <v>233</v>
      </c>
      <c r="C39" s="13" t="n">
        <v>0</v>
      </c>
      <c r="D39" s="13" t="n">
        <v>3</v>
      </c>
    </row>
    <row r="40" customFormat="false" ht="15" hidden="false" customHeight="false" outlineLevel="0" collapsed="false">
      <c r="B40" s="29" t="s">
        <v>234</v>
      </c>
      <c r="C40" s="13" t="n">
        <v>376</v>
      </c>
      <c r="D40" s="13" t="n">
        <v>-3744</v>
      </c>
    </row>
    <row r="41" customFormat="false" ht="15" hidden="false" customHeight="false" outlineLevel="0" collapsed="false">
      <c r="B41" s="29" t="s">
        <v>235</v>
      </c>
      <c r="C41" s="13" t="n">
        <v>1147</v>
      </c>
      <c r="D41" s="13" t="n">
        <v>0</v>
      </c>
    </row>
    <row r="42" customFormat="false" ht="15" hidden="false" customHeight="false" outlineLevel="0" collapsed="false">
      <c r="B42" s="39" t="s">
        <v>236</v>
      </c>
      <c r="C42" s="50" t="n">
        <f aca="false">SUM(C33:C41)</f>
        <v>-5398</v>
      </c>
      <c r="D42" s="50" t="n">
        <f aca="false">SUM(D33:D41)</f>
        <v>-7663</v>
      </c>
    </row>
    <row r="44" customFormat="false" ht="15" hidden="false" customHeight="false" outlineLevel="0" collapsed="false">
      <c r="B44" s="27" t="s">
        <v>237</v>
      </c>
      <c r="C44" s="28"/>
      <c r="D44" s="28"/>
    </row>
    <row r="45" customFormat="false" ht="15" hidden="false" customHeight="false" outlineLevel="0" collapsed="false">
      <c r="B45" s="29" t="s">
        <v>238</v>
      </c>
      <c r="C45" s="13" t="n">
        <v>0</v>
      </c>
      <c r="D45" s="13" t="n">
        <v>0</v>
      </c>
    </row>
    <row r="46" customFormat="false" ht="15" hidden="false" customHeight="false" outlineLevel="0" collapsed="false">
      <c r="B46" s="29" t="s">
        <v>239</v>
      </c>
      <c r="C46" s="13" t="n">
        <v>7</v>
      </c>
      <c r="D46" s="13" t="n">
        <v>1</v>
      </c>
    </row>
    <row r="47" customFormat="false" ht="15" hidden="false" customHeight="false" outlineLevel="0" collapsed="false">
      <c r="B47" s="29" t="s">
        <v>240</v>
      </c>
      <c r="C47" s="13" t="n">
        <v>0</v>
      </c>
      <c r="D47" s="13" t="n">
        <v>0</v>
      </c>
    </row>
    <row r="48" customFormat="false" ht="15" hidden="false" customHeight="false" outlineLevel="0" collapsed="false">
      <c r="B48" s="29" t="s">
        <v>241</v>
      </c>
      <c r="C48" s="13" t="n">
        <v>-221</v>
      </c>
      <c r="D48" s="13" t="n">
        <v>-146</v>
      </c>
    </row>
    <row r="49" customFormat="false" ht="15" hidden="false" customHeight="false" outlineLevel="0" collapsed="false">
      <c r="B49" s="29" t="s">
        <v>242</v>
      </c>
      <c r="C49" s="13" t="n">
        <v>-67</v>
      </c>
      <c r="D49" s="13" t="n">
        <v>-41</v>
      </c>
    </row>
    <row r="50" customFormat="false" ht="15" hidden="false" customHeight="false" outlineLevel="0" collapsed="false">
      <c r="B50" s="29" t="s">
        <v>243</v>
      </c>
      <c r="C50" s="13" t="n">
        <v>-2</v>
      </c>
      <c r="D50" s="13" t="n">
        <v>-5</v>
      </c>
    </row>
    <row r="51" customFormat="false" ht="15" hidden="false" customHeight="false" outlineLevel="0" collapsed="false">
      <c r="B51" s="31" t="s">
        <v>244</v>
      </c>
      <c r="C51" s="50" t="n">
        <f aca="false">SUM(C45:C50)</f>
        <v>-283</v>
      </c>
      <c r="D51" s="50" t="n">
        <f aca="false">SUM(D45:D50)</f>
        <v>-191</v>
      </c>
    </row>
    <row r="52" customFormat="false" ht="15" hidden="false" customHeight="false" outlineLevel="0" collapsed="false">
      <c r="B52" s="42" t="s">
        <v>245</v>
      </c>
      <c r="C52" s="44" t="n">
        <f aca="false">C30+C42+C51</f>
        <v>-1277</v>
      </c>
      <c r="D52" s="44" t="n">
        <f aca="false">D30+D42+D51</f>
        <v>-9866</v>
      </c>
    </row>
    <row r="54" customFormat="false" ht="15" hidden="false" customHeight="false" outlineLevel="0" collapsed="false">
      <c r="B54" s="12" t="s">
        <v>246</v>
      </c>
      <c r="C54" s="13" t="n">
        <v>218</v>
      </c>
      <c r="D54" s="13" t="n">
        <v>1038</v>
      </c>
    </row>
    <row r="55" customFormat="false" ht="15" hidden="false" customHeight="false" outlineLevel="0" collapsed="false">
      <c r="B55" s="39" t="s">
        <v>247</v>
      </c>
      <c r="C55" s="32" t="n">
        <f aca="false">C52+C54</f>
        <v>-1059</v>
      </c>
      <c r="D55" s="32" t="n">
        <f aca="false">D52+D54</f>
        <v>-8828</v>
      </c>
    </row>
    <row r="57" customFormat="false" ht="15" hidden="false" customHeight="false" outlineLevel="0" collapsed="false">
      <c r="B57" s="48" t="s">
        <v>248</v>
      </c>
      <c r="C57" s="51" t="s">
        <v>249</v>
      </c>
      <c r="D57" s="51" t="s">
        <v>249</v>
      </c>
    </row>
    <row r="58" customFormat="false" ht="15" hidden="false" customHeight="false" outlineLevel="0" collapsed="false">
      <c r="B58" s="12" t="s">
        <v>250</v>
      </c>
      <c r="C58" s="13" t="n">
        <v>309</v>
      </c>
      <c r="D58" s="13" t="n">
        <v>218</v>
      </c>
    </row>
    <row r="59" customFormat="false" ht="15" hidden="false" customHeight="false" outlineLevel="0" collapsed="false">
      <c r="B59" s="48" t="s">
        <v>251</v>
      </c>
      <c r="C59" s="49" t="n">
        <f aca="false">C55-C58</f>
        <v>-1368</v>
      </c>
      <c r="D59" s="49" t="n">
        <f aca="false">D55-D58</f>
        <v>-9046</v>
      </c>
    </row>
    <row r="61" customFormat="false" ht="15" hidden="false" customHeight="false" outlineLevel="0" collapsed="false">
      <c r="B61" s="23" t="s">
        <v>252</v>
      </c>
      <c r="C61" s="23"/>
      <c r="D61" s="23"/>
    </row>
  </sheetData>
  <mergeCells count="2">
    <mergeCell ref="B2:D2"/>
    <mergeCell ref="B61:D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5"/>
    <col collapsed="false" customWidth="true" hidden="false" outlineLevel="0" max="4" min="3" style="0" width="20"/>
    <col collapsed="false" customWidth="true" hidden="false" outlineLevel="0" max="7" min="5" style="0" width="18"/>
    <col collapsed="false" customWidth="true" hidden="false" outlineLevel="0" max="8" min="8" style="0" width="3"/>
  </cols>
  <sheetData>
    <row r="2" customFormat="false" ht="30" hidden="false" customHeight="true" outlineLevel="0" collapsed="false">
      <c r="B2" s="24" t="s">
        <v>253</v>
      </c>
      <c r="C2" s="24"/>
      <c r="D2" s="24"/>
      <c r="E2" s="24"/>
      <c r="F2" s="24"/>
      <c r="G2" s="24"/>
    </row>
    <row r="3" customFormat="false" ht="15" hidden="false" customHeight="false" outlineLevel="0" collapsed="false">
      <c r="B3" s="25" t="s">
        <v>254</v>
      </c>
    </row>
    <row r="5" customFormat="false" ht="15" hidden="false" customHeight="false" outlineLevel="0" collapsed="false">
      <c r="B5" s="26" t="s">
        <v>255</v>
      </c>
      <c r="C5" s="26" t="s">
        <v>86</v>
      </c>
      <c r="D5" s="26" t="s">
        <v>87</v>
      </c>
      <c r="E5" s="26" t="s">
        <v>14</v>
      </c>
      <c r="F5" s="26" t="s">
        <v>15</v>
      </c>
      <c r="G5" s="26" t="s">
        <v>256</v>
      </c>
    </row>
    <row r="6" customFormat="false" ht="15" hidden="false" customHeight="false" outlineLevel="0" collapsed="false">
      <c r="B6" s="52" t="s">
        <v>257</v>
      </c>
      <c r="C6" s="9" t="n">
        <v>3915</v>
      </c>
      <c r="D6" s="9" t="n">
        <v>2537</v>
      </c>
      <c r="E6" s="10" t="n">
        <f aca="false">C6-D6</f>
        <v>1378</v>
      </c>
      <c r="F6" s="53" t="n">
        <f aca="false">IF(D6=0,"N/A",E6/ABS(D6))</f>
        <v>0.543161214032322</v>
      </c>
      <c r="G6" s="53" t="n">
        <f aca="false">IF(C$35=0,0,C6/C$35)</f>
        <v>0.519851281370336</v>
      </c>
    </row>
    <row r="7" customFormat="false" ht="15" hidden="false" customHeight="false" outlineLevel="0" collapsed="false">
      <c r="B7" s="29" t="s">
        <v>258</v>
      </c>
      <c r="C7" s="13" t="n">
        <v>1432</v>
      </c>
      <c r="D7" s="13" t="n">
        <v>1227</v>
      </c>
      <c r="E7" s="14" t="n">
        <f aca="false">C7-D7</f>
        <v>205</v>
      </c>
      <c r="F7" s="30" t="n">
        <f aca="false">IF(D7=0,"N/A",E7/ABS(D7))</f>
        <v>0.167074164629177</v>
      </c>
      <c r="G7" s="30" t="n">
        <f aca="false">IF(C$35=0,0,C7/C$35)</f>
        <v>0.190147390784756</v>
      </c>
    </row>
    <row r="8" customFormat="false" ht="15" hidden="false" customHeight="false" outlineLevel="0" collapsed="false">
      <c r="B8" s="52" t="s">
        <v>259</v>
      </c>
      <c r="C8" s="9" t="n">
        <v>330</v>
      </c>
      <c r="D8" s="9" t="n">
        <v>287</v>
      </c>
      <c r="E8" s="10" t="n">
        <f aca="false">C8-D8</f>
        <v>43</v>
      </c>
      <c r="F8" s="53" t="n">
        <f aca="false">IF(D8=0,"N/A",E8/ABS(D8))</f>
        <v>0.149825783972125</v>
      </c>
      <c r="G8" s="53" t="n">
        <f aca="false">IF(C$35=0,0,C8/C$35)</f>
        <v>0.0438188819545877</v>
      </c>
    </row>
    <row r="9" customFormat="false" ht="15" hidden="false" customHeight="false" outlineLevel="0" collapsed="false">
      <c r="B9" s="29" t="s">
        <v>260</v>
      </c>
      <c r="C9" s="13" t="n">
        <v>300</v>
      </c>
      <c r="D9" s="13" t="n">
        <v>228</v>
      </c>
      <c r="E9" s="14" t="n">
        <f aca="false">C9-D9</f>
        <v>72</v>
      </c>
      <c r="F9" s="30" t="n">
        <f aca="false">IF(D9=0,"N/A",E9/ABS(D9))</f>
        <v>0.315789473684211</v>
      </c>
      <c r="G9" s="30" t="n">
        <f aca="false">IF(C$35=0,0,C9/C$35)</f>
        <v>0.0398353472314434</v>
      </c>
    </row>
    <row r="10" customFormat="false" ht="15" hidden="false" customHeight="false" outlineLevel="0" collapsed="false">
      <c r="B10" s="52" t="s">
        <v>261</v>
      </c>
      <c r="C10" s="9" t="n">
        <v>211</v>
      </c>
      <c r="D10" s="9" t="n">
        <v>129</v>
      </c>
      <c r="E10" s="10" t="n">
        <f aca="false">C10-D10</f>
        <v>82</v>
      </c>
      <c r="F10" s="53" t="n">
        <f aca="false">IF(D10=0,"N/A",E10/ABS(D10))</f>
        <v>0.635658914728682</v>
      </c>
      <c r="G10" s="53" t="n">
        <f aca="false">IF(C$35=0,0,C10/C$35)</f>
        <v>0.0280175275527818</v>
      </c>
    </row>
    <row r="11" customFormat="false" ht="15" hidden="false" customHeight="false" outlineLevel="0" collapsed="false">
      <c r="B11" s="29" t="s">
        <v>262</v>
      </c>
      <c r="C11" s="13" t="n">
        <v>190</v>
      </c>
      <c r="D11" s="13" t="n">
        <v>155</v>
      </c>
      <c r="E11" s="14" t="n">
        <f aca="false">C11-D11</f>
        <v>35</v>
      </c>
      <c r="F11" s="30" t="n">
        <f aca="false">IF(D11=0,"N/A",E11/ABS(D11))</f>
        <v>0.225806451612903</v>
      </c>
      <c r="G11" s="30" t="n">
        <f aca="false">IF(C$35=0,0,C11/C$35)</f>
        <v>0.0252290532465808</v>
      </c>
    </row>
    <row r="12" customFormat="false" ht="15" hidden="false" customHeight="false" outlineLevel="0" collapsed="false">
      <c r="B12" s="52" t="s">
        <v>263</v>
      </c>
      <c r="C12" s="9" t="n">
        <v>185</v>
      </c>
      <c r="D12" s="9" t="n">
        <v>159</v>
      </c>
      <c r="E12" s="10" t="n">
        <f aca="false">C12-D12</f>
        <v>26</v>
      </c>
      <c r="F12" s="53" t="n">
        <f aca="false">IF(D12=0,"N/A",E12/ABS(D12))</f>
        <v>0.163522012578616</v>
      </c>
      <c r="G12" s="53" t="n">
        <f aca="false">IF(C$35=0,0,C12/C$35)</f>
        <v>0.0245651307927234</v>
      </c>
    </row>
    <row r="13" customFormat="false" ht="15" hidden="false" customHeight="false" outlineLevel="0" collapsed="false">
      <c r="B13" s="29" t="s">
        <v>264</v>
      </c>
      <c r="C13" s="13" t="n">
        <v>170</v>
      </c>
      <c r="D13" s="13" t="n">
        <v>115</v>
      </c>
      <c r="E13" s="14" t="n">
        <f aca="false">C13-D13</f>
        <v>55</v>
      </c>
      <c r="F13" s="30" t="n">
        <f aca="false">IF(D13=0,"N/A",E13/ABS(D13))</f>
        <v>0.478260869565217</v>
      </c>
      <c r="G13" s="30" t="n">
        <f aca="false">IF(C$35=0,0,C13/C$35)</f>
        <v>0.0225733634311512</v>
      </c>
    </row>
    <row r="14" customFormat="false" ht="15" hidden="false" customHeight="false" outlineLevel="0" collapsed="false">
      <c r="B14" s="52" t="s">
        <v>265</v>
      </c>
      <c r="C14" s="9" t="n">
        <v>124</v>
      </c>
      <c r="D14" s="9" t="n">
        <v>57</v>
      </c>
      <c r="E14" s="10" t="n">
        <f aca="false">C14-D14</f>
        <v>67</v>
      </c>
      <c r="F14" s="53" t="n">
        <f aca="false">IF(D14=0,"N/A",E14/ABS(D14))</f>
        <v>1.17543859649123</v>
      </c>
      <c r="G14" s="53" t="n">
        <f aca="false">IF(C$35=0,0,C14/C$35)</f>
        <v>0.0164652768556633</v>
      </c>
    </row>
    <row r="15" customFormat="false" ht="15" hidden="false" customHeight="false" outlineLevel="0" collapsed="false">
      <c r="B15" s="29" t="s">
        <v>266</v>
      </c>
      <c r="C15" s="13" t="n">
        <v>112</v>
      </c>
      <c r="D15" s="13" t="n">
        <v>92</v>
      </c>
      <c r="E15" s="14" t="n">
        <f aca="false">C15-D15</f>
        <v>20</v>
      </c>
      <c r="F15" s="30" t="n">
        <f aca="false">IF(D15=0,"N/A",E15/ABS(D15))</f>
        <v>0.217391304347826</v>
      </c>
      <c r="G15" s="30" t="n">
        <f aca="false">IF(C$35=0,0,C15/C$35)</f>
        <v>0.0148718629664055</v>
      </c>
    </row>
    <row r="16" customFormat="false" ht="15" hidden="false" customHeight="false" outlineLevel="0" collapsed="false">
      <c r="B16" s="52" t="s">
        <v>267</v>
      </c>
      <c r="C16" s="9" t="n">
        <v>74</v>
      </c>
      <c r="D16" s="9" t="n">
        <v>80</v>
      </c>
      <c r="E16" s="10" t="n">
        <f aca="false">C16-D16</f>
        <v>-6</v>
      </c>
      <c r="F16" s="53" t="n">
        <f aca="false">IF(D16=0,"N/A",E16/ABS(D16))</f>
        <v>-0.075</v>
      </c>
      <c r="G16" s="53" t="n">
        <f aca="false">IF(C$35=0,0,C16/C$35)</f>
        <v>0.00982605231708936</v>
      </c>
    </row>
    <row r="17" customFormat="false" ht="15" hidden="false" customHeight="false" outlineLevel="0" collapsed="false">
      <c r="B17" s="29" t="s">
        <v>268</v>
      </c>
      <c r="C17" s="13" t="n">
        <v>68</v>
      </c>
      <c r="D17" s="13" t="n">
        <v>30</v>
      </c>
      <c r="E17" s="14" t="n">
        <f aca="false">C17-D17</f>
        <v>38</v>
      </c>
      <c r="F17" s="30" t="n">
        <f aca="false">IF(D17=0,"N/A",E17/ABS(D17))</f>
        <v>1.26666666666667</v>
      </c>
      <c r="G17" s="30" t="n">
        <f aca="false">IF(C$35=0,0,C17/C$35)</f>
        <v>0.0090293453724605</v>
      </c>
    </row>
    <row r="18" customFormat="false" ht="15" hidden="false" customHeight="false" outlineLevel="0" collapsed="false">
      <c r="B18" s="52" t="s">
        <v>269</v>
      </c>
      <c r="C18" s="9" t="n">
        <v>67</v>
      </c>
      <c r="D18" s="9" t="n">
        <v>30</v>
      </c>
      <c r="E18" s="10" t="n">
        <f aca="false">C18-D18</f>
        <v>37</v>
      </c>
      <c r="F18" s="53" t="n">
        <f aca="false">IF(D18=0,"N/A",E18/ABS(D18))</f>
        <v>1.23333333333333</v>
      </c>
      <c r="G18" s="53" t="n">
        <f aca="false">IF(C$35=0,0,C18/C$35)</f>
        <v>0.00889656088168902</v>
      </c>
    </row>
    <row r="19" customFormat="false" ht="15" hidden="false" customHeight="false" outlineLevel="0" collapsed="false">
      <c r="B19" s="29" t="s">
        <v>270</v>
      </c>
      <c r="C19" s="13" t="n">
        <v>63</v>
      </c>
      <c r="D19" s="13" t="n">
        <v>45</v>
      </c>
      <c r="E19" s="14" t="n">
        <f aca="false">C19-D19</f>
        <v>18</v>
      </c>
      <c r="F19" s="30" t="n">
        <f aca="false">IF(D19=0,"N/A",E19/ABS(D19))</f>
        <v>0.4</v>
      </c>
      <c r="G19" s="30" t="n">
        <f aca="false">IF(C$35=0,0,C19/C$35)</f>
        <v>0.00836542291860311</v>
      </c>
    </row>
    <row r="20" customFormat="false" ht="15" hidden="false" customHeight="false" outlineLevel="0" collapsed="false">
      <c r="B20" s="52" t="s">
        <v>271</v>
      </c>
      <c r="C20" s="9" t="n">
        <v>51</v>
      </c>
      <c r="D20" s="9" t="n">
        <v>23</v>
      </c>
      <c r="E20" s="10" t="n">
        <f aca="false">C20-D20</f>
        <v>28</v>
      </c>
      <c r="F20" s="53" t="n">
        <f aca="false">IF(D20=0,"N/A",E20/ABS(D20))</f>
        <v>1.21739130434783</v>
      </c>
      <c r="G20" s="53" t="n">
        <f aca="false">IF(C$35=0,0,C20/C$35)</f>
        <v>0.00677200902934537</v>
      </c>
    </row>
    <row r="21" customFormat="false" ht="15" hidden="false" customHeight="false" outlineLevel="0" collapsed="false">
      <c r="B21" s="29" t="s">
        <v>272</v>
      </c>
      <c r="C21" s="13" t="n">
        <v>48</v>
      </c>
      <c r="D21" s="13" t="n">
        <v>28</v>
      </c>
      <c r="E21" s="14" t="n">
        <f aca="false">C21-D21</f>
        <v>20</v>
      </c>
      <c r="F21" s="30" t="n">
        <f aca="false">IF(D21=0,"N/A",E21/ABS(D21))</f>
        <v>0.714285714285714</v>
      </c>
      <c r="G21" s="30" t="n">
        <f aca="false">IF(C$35=0,0,C21/C$35)</f>
        <v>0.00637365555703094</v>
      </c>
    </row>
    <row r="22" customFormat="false" ht="15" hidden="false" customHeight="false" outlineLevel="0" collapsed="false">
      <c r="B22" s="52" t="s">
        <v>273</v>
      </c>
      <c r="C22" s="9" t="n">
        <v>44</v>
      </c>
      <c r="D22" s="9" t="n">
        <v>42</v>
      </c>
      <c r="E22" s="10" t="n">
        <f aca="false">C22-D22</f>
        <v>2</v>
      </c>
      <c r="F22" s="53" t="n">
        <f aca="false">IF(D22=0,"N/A",E22/ABS(D22))</f>
        <v>0.0476190476190476</v>
      </c>
      <c r="G22" s="53" t="n">
        <f aca="false">IF(C$35=0,0,C22/C$35)</f>
        <v>0.00584251759394503</v>
      </c>
    </row>
    <row r="23" customFormat="false" ht="15" hidden="false" customHeight="false" outlineLevel="0" collapsed="false">
      <c r="B23" s="29" t="s">
        <v>274</v>
      </c>
      <c r="C23" s="13" t="n">
        <v>42</v>
      </c>
      <c r="D23" s="13" t="n">
        <v>35</v>
      </c>
      <c r="E23" s="14" t="n">
        <f aca="false">C23-D23</f>
        <v>7</v>
      </c>
      <c r="F23" s="30" t="n">
        <f aca="false">IF(D23=0,"N/A",E23/ABS(D23))</f>
        <v>0.2</v>
      </c>
      <c r="G23" s="30" t="n">
        <f aca="false">IF(C$35=0,0,C23/C$35)</f>
        <v>0.00557694861240207</v>
      </c>
    </row>
    <row r="24" customFormat="false" ht="15" hidden="false" customHeight="false" outlineLevel="0" collapsed="false">
      <c r="B24" s="52" t="s">
        <v>275</v>
      </c>
      <c r="C24" s="9" t="n">
        <v>34</v>
      </c>
      <c r="D24" s="9" t="n">
        <v>43</v>
      </c>
      <c r="E24" s="10" t="n">
        <f aca="false">C24-D24</f>
        <v>-9</v>
      </c>
      <c r="F24" s="53" t="n">
        <f aca="false">IF(D24=0,"N/A",E24/ABS(D24))</f>
        <v>-0.209302325581395</v>
      </c>
      <c r="G24" s="53" t="n">
        <f aca="false">IF(C$35=0,0,C24/C$35)</f>
        <v>0.00451467268623025</v>
      </c>
    </row>
    <row r="25" customFormat="false" ht="15" hidden="false" customHeight="false" outlineLevel="0" collapsed="false">
      <c r="B25" s="29" t="s">
        <v>276</v>
      </c>
      <c r="C25" s="13" t="n">
        <v>32</v>
      </c>
      <c r="D25" s="13" t="n">
        <v>24</v>
      </c>
      <c r="E25" s="14" t="n">
        <f aca="false">C25-D25</f>
        <v>8</v>
      </c>
      <c r="F25" s="30" t="n">
        <f aca="false">IF(D25=0,"N/A",E25/ABS(D25))</f>
        <v>0.333333333333333</v>
      </c>
      <c r="G25" s="30" t="n">
        <f aca="false">IF(C$35=0,0,C25/C$35)</f>
        <v>0.00424910370468729</v>
      </c>
    </row>
    <row r="26" customFormat="false" ht="15" hidden="false" customHeight="false" outlineLevel="0" collapsed="false">
      <c r="B26" s="52" t="s">
        <v>277</v>
      </c>
      <c r="C26" s="9" t="n">
        <v>21</v>
      </c>
      <c r="D26" s="9" t="n">
        <v>13</v>
      </c>
      <c r="E26" s="10" t="n">
        <f aca="false">C26-D26</f>
        <v>8</v>
      </c>
      <c r="F26" s="53" t="n">
        <f aca="false">IF(D26=0,"N/A",E26/ABS(D26))</f>
        <v>0.615384615384615</v>
      </c>
      <c r="G26" s="53" t="n">
        <f aca="false">IF(C$35=0,0,C26/C$35)</f>
        <v>0.00278847430620104</v>
      </c>
    </row>
    <row r="27" customFormat="false" ht="15" hidden="false" customHeight="false" outlineLevel="0" collapsed="false">
      <c r="B27" s="29" t="s">
        <v>278</v>
      </c>
      <c r="C27" s="13" t="n">
        <v>15</v>
      </c>
      <c r="D27" s="13" t="n">
        <v>37</v>
      </c>
      <c r="E27" s="14" t="n">
        <f aca="false">C27-D27</f>
        <v>-22</v>
      </c>
      <c r="F27" s="30" t="n">
        <f aca="false">IF(D27=0,"N/A",E27/ABS(D27))</f>
        <v>-0.594594594594595</v>
      </c>
      <c r="G27" s="30" t="n">
        <f aca="false">IF(C$35=0,0,C27/C$35)</f>
        <v>0.00199176736157217</v>
      </c>
    </row>
    <row r="28" customFormat="false" ht="15" hidden="false" customHeight="false" outlineLevel="0" collapsed="false">
      <c r="B28" s="52" t="s">
        <v>279</v>
      </c>
      <c r="C28" s="9" t="n">
        <v>7</v>
      </c>
      <c r="D28" s="9" t="n">
        <v>30</v>
      </c>
      <c r="E28" s="10" t="n">
        <f aca="false">C28-D28</f>
        <v>-23</v>
      </c>
      <c r="F28" s="53" t="n">
        <f aca="false">IF(D28=0,"N/A",E28/ABS(D28))</f>
        <v>-0.766666666666667</v>
      </c>
      <c r="G28" s="53" t="n">
        <f aca="false">IF(C$35=0,0,C28/C$35)</f>
        <v>0.000929491435400345</v>
      </c>
    </row>
    <row r="29" customFormat="false" ht="15" hidden="false" customHeight="false" outlineLevel="0" collapsed="false">
      <c r="B29" s="29" t="s">
        <v>280</v>
      </c>
      <c r="C29" s="13" t="n">
        <v>5</v>
      </c>
      <c r="D29" s="13" t="n">
        <v>6</v>
      </c>
      <c r="E29" s="14" t="n">
        <f aca="false">C29-D29</f>
        <v>-1</v>
      </c>
      <c r="F29" s="30" t="n">
        <f aca="false">IF(D29=0,"N/A",E29/ABS(D29))</f>
        <v>-0.166666666666667</v>
      </c>
      <c r="G29" s="30" t="n">
        <f aca="false">IF(C$35=0,0,C29/C$35)</f>
        <v>0.000663922453857389</v>
      </c>
    </row>
    <row r="30" customFormat="false" ht="15" hidden="false" customHeight="false" outlineLevel="0" collapsed="false">
      <c r="B30" s="52" t="s">
        <v>281</v>
      </c>
      <c r="C30" s="9" t="n">
        <v>4</v>
      </c>
      <c r="D30" s="9" t="n">
        <v>3</v>
      </c>
      <c r="E30" s="10" t="n">
        <f aca="false">C30-D30</f>
        <v>1</v>
      </c>
      <c r="F30" s="53" t="n">
        <f aca="false">IF(D30=0,"N/A",E30/ABS(D30))</f>
        <v>0.333333333333333</v>
      </c>
      <c r="G30" s="53" t="n">
        <f aca="false">IF(C$35=0,0,C30/C$35)</f>
        <v>0.000531137963085912</v>
      </c>
    </row>
    <row r="31" customFormat="false" ht="15" hidden="false" customHeight="false" outlineLevel="0" collapsed="false">
      <c r="B31" s="29" t="s">
        <v>282</v>
      </c>
      <c r="C31" s="13" t="n">
        <v>3</v>
      </c>
      <c r="D31" s="13" t="n">
        <v>7</v>
      </c>
      <c r="E31" s="14" t="n">
        <f aca="false">C31-D31</f>
        <v>-4</v>
      </c>
      <c r="F31" s="30" t="n">
        <f aca="false">IF(D31=0,"N/A",E31/ABS(D31))</f>
        <v>-0.571428571428571</v>
      </c>
      <c r="G31" s="30" t="n">
        <f aca="false">IF(C$35=0,0,C31/C$35)</f>
        <v>0.000398353472314434</v>
      </c>
    </row>
    <row r="32" customFormat="false" ht="15" hidden="false" customHeight="false" outlineLevel="0" collapsed="false">
      <c r="B32" s="52" t="s">
        <v>211</v>
      </c>
      <c r="C32" s="9" t="n">
        <v>1</v>
      </c>
      <c r="D32" s="9" t="n">
        <v>0</v>
      </c>
      <c r="E32" s="10" t="n">
        <f aca="false">C32-D32</f>
        <v>1</v>
      </c>
      <c r="F32" s="53" t="str">
        <f aca="false">IF(D32=0,"N/A",E32/ABS(D32))</f>
        <v>N/A</v>
      </c>
      <c r="G32" s="53" t="n">
        <f aca="false">IF(C$35=0,0,C32/C$35)</f>
        <v>0.000132784490771478</v>
      </c>
    </row>
    <row r="33" customFormat="false" ht="15" hidden="false" customHeight="false" outlineLevel="0" collapsed="false">
      <c r="B33" s="29" t="s">
        <v>283</v>
      </c>
      <c r="C33" s="13" t="n">
        <v>-2</v>
      </c>
      <c r="D33" s="13" t="n">
        <v>-6</v>
      </c>
      <c r="E33" s="14" t="n">
        <f aca="false">C33-D33</f>
        <v>4</v>
      </c>
      <c r="F33" s="30" t="n">
        <f aca="false">IF(D33=0,"N/A",E33/ABS(D33))</f>
        <v>0.666666666666667</v>
      </c>
      <c r="G33" s="30" t="n">
        <f aca="false">IF(C$35=0,0,C33/C$35)</f>
        <v>-0.000265568981542956</v>
      </c>
    </row>
    <row r="34" customFormat="false" ht="15" hidden="false" customHeight="false" outlineLevel="0" collapsed="false">
      <c r="B34" s="52" t="s">
        <v>284</v>
      </c>
      <c r="C34" s="9" t="n">
        <v>-15</v>
      </c>
      <c r="D34" s="9" t="n">
        <v>-37</v>
      </c>
      <c r="E34" s="10" t="n">
        <f aca="false">C34-D34</f>
        <v>22</v>
      </c>
      <c r="F34" s="53" t="n">
        <f aca="false">IF(D34=0,"N/A",E34/ABS(D34))</f>
        <v>0.594594594594595</v>
      </c>
      <c r="G34" s="53" t="n">
        <f aca="false">IF(C$35=0,0,C34/C$35)</f>
        <v>-0.00199176736157217</v>
      </c>
    </row>
    <row r="35" customFormat="false" ht="15" hidden="false" customHeight="false" outlineLevel="0" collapsed="false">
      <c r="B35" s="39" t="s">
        <v>285</v>
      </c>
      <c r="C35" s="32" t="n">
        <f aca="false">SUM(C6:C34)</f>
        <v>7531</v>
      </c>
      <c r="D35" s="32" t="n">
        <f aca="false">SUM(D6:D34)</f>
        <v>5419</v>
      </c>
      <c r="E35" s="32" t="n">
        <f aca="false">C35-D35</f>
        <v>2112</v>
      </c>
      <c r="F35" s="33" t="n">
        <f aca="false">IF(D35=0,"N/A",E35/D35)</f>
        <v>0.389739804391954</v>
      </c>
      <c r="G35" s="33" t="n">
        <v>1</v>
      </c>
    </row>
    <row r="37" customFormat="false" ht="15" hidden="false" customHeight="false" outlineLevel="0" collapsed="false">
      <c r="B37" s="54" t="s">
        <v>286</v>
      </c>
      <c r="C37" s="54"/>
      <c r="D37" s="54"/>
      <c r="E37" s="54"/>
      <c r="F37" s="54"/>
      <c r="G37" s="54"/>
    </row>
    <row r="38" customFormat="false" ht="15" hidden="false" customHeight="false" outlineLevel="0" collapsed="false">
      <c r="B38" s="55" t="s">
        <v>287</v>
      </c>
      <c r="C38" s="55" t="s">
        <v>255</v>
      </c>
      <c r="D38" s="55" t="s">
        <v>86</v>
      </c>
      <c r="E38" s="55" t="s">
        <v>288</v>
      </c>
    </row>
    <row r="39" customFormat="false" ht="15" hidden="false" customHeight="false" outlineLevel="0" collapsed="false">
      <c r="B39" s="20" t="n">
        <v>1</v>
      </c>
      <c r="C39" s="8" t="s">
        <v>257</v>
      </c>
      <c r="D39" s="9" t="n">
        <v>3915</v>
      </c>
      <c r="E39" s="53" t="n">
        <f aca="false">D39/C35</f>
        <v>0.519851281370336</v>
      </c>
    </row>
    <row r="40" customFormat="false" ht="15" hidden="false" customHeight="false" outlineLevel="0" collapsed="false">
      <c r="B40" s="22" t="n">
        <v>2</v>
      </c>
      <c r="C40" s="12" t="s">
        <v>258</v>
      </c>
      <c r="D40" s="13" t="n">
        <v>1432</v>
      </c>
      <c r="E40" s="30" t="n">
        <f aca="false">D40/C35</f>
        <v>0.190147390784756</v>
      </c>
    </row>
    <row r="41" customFormat="false" ht="15" hidden="false" customHeight="false" outlineLevel="0" collapsed="false">
      <c r="B41" s="20" t="n">
        <v>3</v>
      </c>
      <c r="C41" s="8" t="s">
        <v>259</v>
      </c>
      <c r="D41" s="9" t="n">
        <v>330</v>
      </c>
      <c r="E41" s="53" t="n">
        <f aca="false">D41/C35</f>
        <v>0.0438188819545877</v>
      </c>
    </row>
    <row r="42" customFormat="false" ht="15" hidden="false" customHeight="false" outlineLevel="0" collapsed="false">
      <c r="B42" s="22" t="n">
        <v>4</v>
      </c>
      <c r="C42" s="12" t="s">
        <v>260</v>
      </c>
      <c r="D42" s="13" t="n">
        <v>300</v>
      </c>
      <c r="E42" s="30" t="n">
        <f aca="false">D42/C35</f>
        <v>0.0398353472314434</v>
      </c>
    </row>
    <row r="43" customFormat="false" ht="15" hidden="false" customHeight="false" outlineLevel="0" collapsed="false">
      <c r="B43" s="20" t="n">
        <v>5</v>
      </c>
      <c r="C43" s="8" t="s">
        <v>261</v>
      </c>
      <c r="D43" s="9" t="n">
        <v>211</v>
      </c>
      <c r="E43" s="53" t="n">
        <f aca="false">D43/C35</f>
        <v>0.0280175275527818</v>
      </c>
    </row>
    <row r="45" customFormat="false" ht="15" hidden="false" customHeight="false" outlineLevel="0" collapsed="false">
      <c r="B45" s="23" t="s">
        <v>289</v>
      </c>
      <c r="C45" s="23"/>
      <c r="D45" s="23"/>
      <c r="E45" s="23"/>
      <c r="F45" s="23"/>
      <c r="G45" s="23"/>
    </row>
  </sheetData>
  <mergeCells count="3">
    <mergeCell ref="B2:G2"/>
    <mergeCell ref="B37:G37"/>
    <mergeCell ref="B45:G45"/>
  </mergeCells>
  <conditionalFormatting sqref="C6:C34">
    <cfRule type="dataBar" priority="2">
      <dataBar showValue="1" minLength="10" maxLength="90">
        <cfvo type="min" val="0"/>
        <cfvo type="max" val="0"/>
        <color rgb="FF4A90D9"/>
      </dataBar>
      <extLst>
        <ext xmlns:x14="http://schemas.microsoft.com/office/spreadsheetml/2009/9/main" uri="{B025F937-C7B1-47D3-B67F-A62EFF666E3E}">
          <x14:id>{4775C69F-20B0-41A4-AB4A-BA24F0FBAB6C}</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775C69F-20B0-41A4-AB4A-BA24F0FBAB6C}">
            <x14:dataBar minLength="10" maxLength="90" axisPosition="none" gradient="true">
              <x14:cfvo type="min"/>
              <x14:cfvo type="max"/>
              <x14:negativeFillColor rgb="FF4A90D9"/>
              <x14:axisColor rgb="FF000000"/>
            </x14:dataBar>
          </x14:cfRule>
          <xm:sqref>C6:C34</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5"/>
    <col collapsed="false" customWidth="true" hidden="false" outlineLevel="0" max="4" min="3" style="0" width="20"/>
    <col collapsed="false" customWidth="true" hidden="false" outlineLevel="0" max="6" min="5" style="0" width="18"/>
    <col collapsed="false" customWidth="true" hidden="false" outlineLevel="0" max="7" min="7" style="0" width="3"/>
  </cols>
  <sheetData>
    <row r="2" customFormat="false" ht="30" hidden="false" customHeight="true" outlineLevel="0" collapsed="false">
      <c r="B2" s="24" t="s">
        <v>290</v>
      </c>
      <c r="C2" s="24"/>
      <c r="D2" s="24"/>
      <c r="E2" s="24"/>
      <c r="F2" s="24"/>
    </row>
    <row r="3" customFormat="false" ht="15" hidden="false" customHeight="false" outlineLevel="0" collapsed="false">
      <c r="B3" s="25" t="s">
        <v>291</v>
      </c>
    </row>
    <row r="5" customFormat="false" ht="15" hidden="false" customHeight="false" outlineLevel="0" collapsed="false">
      <c r="B5" s="26" t="s">
        <v>11</v>
      </c>
      <c r="C5" s="26" t="s">
        <v>12</v>
      </c>
      <c r="D5" s="26" t="s">
        <v>13</v>
      </c>
      <c r="E5" s="26" t="s">
        <v>14</v>
      </c>
      <c r="F5" s="26" t="s">
        <v>56</v>
      </c>
    </row>
    <row r="6" customFormat="false" ht="15" hidden="false" customHeight="false" outlineLevel="0" collapsed="false">
      <c r="B6" s="27" t="s">
        <v>292</v>
      </c>
      <c r="C6" s="28"/>
      <c r="D6" s="28"/>
      <c r="E6" s="28"/>
      <c r="F6" s="28"/>
    </row>
    <row r="7" customFormat="false" ht="15" hidden="false" customHeight="false" outlineLevel="0" collapsed="false">
      <c r="B7" s="29" t="s">
        <v>293</v>
      </c>
      <c r="C7" s="13" t="n">
        <v>32224</v>
      </c>
      <c r="D7" s="13" t="n">
        <v>26193</v>
      </c>
      <c r="E7" s="14" t="n">
        <f aca="false">C7-D7</f>
        <v>6031</v>
      </c>
      <c r="F7" s="30" t="n">
        <f aca="false">IF(D7=0,"N/A",E7/D7)</f>
        <v>0.230252357500095</v>
      </c>
    </row>
    <row r="8" customFormat="false" ht="15" hidden="false" customHeight="false" outlineLevel="0" collapsed="false">
      <c r="B8" s="56" t="s">
        <v>294</v>
      </c>
      <c r="C8" s="13" t="n">
        <v>753</v>
      </c>
      <c r="D8" s="13" t="n">
        <v>649</v>
      </c>
      <c r="E8" s="14" t="n">
        <f aca="false">C8-D8</f>
        <v>104</v>
      </c>
      <c r="F8" s="30" t="n">
        <f aca="false">IF(D8=0,"N/A",E8/D8)</f>
        <v>0.160246533127889</v>
      </c>
    </row>
    <row r="9" customFormat="false" ht="15" hidden="false" customHeight="false" outlineLevel="0" collapsed="false">
      <c r="B9" s="29" t="s">
        <v>295</v>
      </c>
      <c r="C9" s="13" t="n">
        <v>428</v>
      </c>
      <c r="D9" s="13" t="n">
        <v>403</v>
      </c>
      <c r="E9" s="14" t="n">
        <f aca="false">C9-D9</f>
        <v>25</v>
      </c>
      <c r="F9" s="30" t="n">
        <f aca="false">IF(D9=0,"N/A",E9/D9)</f>
        <v>0.0620347394540943</v>
      </c>
    </row>
    <row r="10" customFormat="false" ht="15" hidden="false" customHeight="false" outlineLevel="0" collapsed="false">
      <c r="B10" s="57" t="s">
        <v>296</v>
      </c>
      <c r="C10" s="32" t="n">
        <f aca="false">C7*100/C8</f>
        <v>4279.41567065073</v>
      </c>
      <c r="D10" s="32" t="n">
        <f aca="false">D7*100/D8</f>
        <v>4035.90138674884</v>
      </c>
      <c r="E10" s="32" t="n">
        <f aca="false">C10-D10</f>
        <v>243.514283901886</v>
      </c>
      <c r="F10" s="33" t="n">
        <f aca="false">IF(D10=0,"N/A",E10/D10)</f>
        <v>0.0603370252557263</v>
      </c>
    </row>
    <row r="12" customFormat="false" ht="15" hidden="false" customHeight="false" outlineLevel="0" collapsed="false">
      <c r="B12" s="27" t="s">
        <v>297</v>
      </c>
      <c r="C12" s="28"/>
      <c r="D12" s="28"/>
      <c r="E12" s="28"/>
      <c r="F12" s="28"/>
    </row>
    <row r="13" customFormat="false" ht="15" hidden="false" customHeight="false" outlineLevel="0" collapsed="false">
      <c r="B13" s="29" t="s">
        <v>298</v>
      </c>
      <c r="C13" s="34" t="n">
        <v>18.4</v>
      </c>
      <c r="D13" s="34" t="n">
        <v>17</v>
      </c>
      <c r="E13" s="35" t="n">
        <f aca="false">C13-D13</f>
        <v>1.4</v>
      </c>
      <c r="F13" s="30" t="n">
        <f aca="false">IF(D13=0,"N/A",E13/D13)</f>
        <v>0.0823529411764705</v>
      </c>
    </row>
    <row r="14" customFormat="false" ht="15" hidden="false" customHeight="false" outlineLevel="0" collapsed="false">
      <c r="B14" s="29" t="s">
        <v>299</v>
      </c>
      <c r="C14" s="13" t="n">
        <v>247</v>
      </c>
      <c r="D14" s="13" t="n">
        <v>209</v>
      </c>
      <c r="E14" s="14" t="n">
        <f aca="false">C14-D14</f>
        <v>38</v>
      </c>
      <c r="F14" s="30" t="n">
        <f aca="false">IF(D14=0,"N/A",E14/D14)</f>
        <v>0.181818181818182</v>
      </c>
    </row>
    <row r="15" customFormat="false" ht="15" hidden="false" customHeight="false" outlineLevel="0" collapsed="false">
      <c r="B15" s="29" t="s">
        <v>300</v>
      </c>
      <c r="C15" s="13" t="n">
        <v>400</v>
      </c>
      <c r="D15" s="13" t="n">
        <v>328</v>
      </c>
      <c r="E15" s="14" t="n">
        <f aca="false">C15-D15</f>
        <v>72</v>
      </c>
      <c r="F15" s="30" t="n">
        <f aca="false">IF(D15=0,"N/A",E15/D15)</f>
        <v>0.219512195121951</v>
      </c>
    </row>
    <row r="16" customFormat="false" ht="15" hidden="false" customHeight="false" outlineLevel="0" collapsed="false">
      <c r="B16" s="29" t="s">
        <v>301</v>
      </c>
      <c r="C16" s="34" t="n">
        <v>7.4</v>
      </c>
      <c r="D16" s="34" t="n">
        <v>2.5</v>
      </c>
      <c r="E16" s="35" t="n">
        <f aca="false">C16-D16</f>
        <v>4.9</v>
      </c>
      <c r="F16" s="30" t="n">
        <f aca="false">IF(D16=0,"N/A",E16/D16)</f>
        <v>1.96</v>
      </c>
    </row>
    <row r="18" customFormat="false" ht="15" hidden="false" customHeight="false" outlineLevel="0" collapsed="false">
      <c r="B18" s="27" t="s">
        <v>302</v>
      </c>
      <c r="C18" s="28"/>
      <c r="D18" s="28"/>
      <c r="E18" s="28"/>
      <c r="F18" s="28"/>
    </row>
    <row r="19" customFormat="false" ht="15" hidden="false" customHeight="false" outlineLevel="0" collapsed="false">
      <c r="B19" s="27" t="s">
        <v>303</v>
      </c>
      <c r="C19" s="28"/>
      <c r="D19" s="28"/>
      <c r="E19" s="28"/>
      <c r="F19" s="28"/>
    </row>
    <row r="20" customFormat="false" ht="15" hidden="false" customHeight="false" outlineLevel="0" collapsed="false">
      <c r="B20" s="29" t="s">
        <v>304</v>
      </c>
      <c r="C20" s="13" t="n">
        <v>7792</v>
      </c>
      <c r="D20" s="13" t="n">
        <v>6046</v>
      </c>
      <c r="E20" s="14" t="n">
        <f aca="false">C20-D20</f>
        <v>1746</v>
      </c>
      <c r="F20" s="30" t="n">
        <f aca="false">IF(D20=0,"N/A",E20/D20)</f>
        <v>0.288785974197817</v>
      </c>
    </row>
    <row r="21" customFormat="false" ht="15" hidden="false" customHeight="false" outlineLevel="0" collapsed="false">
      <c r="B21" s="58" t="s">
        <v>305</v>
      </c>
      <c r="C21" s="33" t="n">
        <f aca="false">C20/C7</f>
        <v>0.241807348560079</v>
      </c>
      <c r="D21" s="33" t="n">
        <f aca="false">D20/D7</f>
        <v>0.230825029588058</v>
      </c>
      <c r="E21" s="33" t="n">
        <f aca="false">C21-D21</f>
        <v>0.0109823189720216</v>
      </c>
      <c r="F21" s="59" t="n">
        <f aca="false">(C21-D21)*10000</f>
        <v>109.823189720216</v>
      </c>
    </row>
    <row r="23" customFormat="false" ht="15" hidden="false" customHeight="false" outlineLevel="0" collapsed="false">
      <c r="B23" s="27" t="s">
        <v>306</v>
      </c>
      <c r="C23" s="28"/>
      <c r="D23" s="28"/>
      <c r="E23" s="28"/>
      <c r="F23" s="28"/>
    </row>
    <row r="24" customFormat="false" ht="15" hidden="false" customHeight="false" outlineLevel="0" collapsed="false">
      <c r="B24" s="56" t="s">
        <v>307</v>
      </c>
      <c r="C24" s="60" t="n">
        <v>0.075</v>
      </c>
      <c r="D24" s="60" t="n">
        <v>0.054</v>
      </c>
      <c r="E24" s="30" t="n">
        <f aca="false">C24-D24</f>
        <v>0.021</v>
      </c>
      <c r="F24" s="61" t="n">
        <f aca="false">(C24-D24)*10000</f>
        <v>210</v>
      </c>
    </row>
    <row r="25" customFormat="false" ht="15" hidden="false" customHeight="false" outlineLevel="0" collapsed="false">
      <c r="B25" s="29" t="s">
        <v>308</v>
      </c>
      <c r="C25" s="13" t="n">
        <v>912</v>
      </c>
      <c r="D25" s="13" t="n">
        <v>-5</v>
      </c>
      <c r="E25" s="14" t="n">
        <f aca="false">C25-D25</f>
        <v>917</v>
      </c>
      <c r="F25" s="30" t="n">
        <f aca="false">IF(D25=0,"N/A",E25/ABS(D25))</f>
        <v>183.4</v>
      </c>
    </row>
    <row r="26" customFormat="false" ht="15" hidden="false" customHeight="false" outlineLevel="0" collapsed="false">
      <c r="B26" s="58" t="s">
        <v>309</v>
      </c>
      <c r="C26" s="33" t="n">
        <f aca="false">C25/C20</f>
        <v>0.117043121149897</v>
      </c>
      <c r="D26" s="33" t="n">
        <f aca="false">D25/D20</f>
        <v>-0.000826993053258353</v>
      </c>
      <c r="E26" s="33" t="n">
        <f aca="false">C26-D26</f>
        <v>0.117870114203156</v>
      </c>
      <c r="F26" s="59" t="n">
        <f aca="false">(C26-D26)*10000</f>
        <v>1178.70114203156</v>
      </c>
    </row>
    <row r="29" customFormat="false" ht="15" hidden="false" customHeight="false" outlineLevel="0" collapsed="false">
      <c r="B29" s="54" t="s">
        <v>310</v>
      </c>
      <c r="C29" s="54"/>
      <c r="D29" s="54"/>
      <c r="E29" s="54"/>
      <c r="F29" s="54"/>
    </row>
    <row r="30" customFormat="false" ht="21.75" hidden="false" customHeight="true" outlineLevel="0" collapsed="false">
      <c r="B30" s="62" t="s">
        <v>311</v>
      </c>
      <c r="C30" s="62"/>
      <c r="D30" s="62"/>
      <c r="E30" s="62"/>
      <c r="F30" s="62"/>
    </row>
    <row r="31" customFormat="false" ht="21.75" hidden="false" customHeight="true" outlineLevel="0" collapsed="false">
      <c r="B31" s="63" t="s">
        <v>312</v>
      </c>
      <c r="C31" s="63"/>
      <c r="D31" s="63"/>
      <c r="E31" s="63"/>
      <c r="F31" s="63"/>
    </row>
    <row r="32" customFormat="false" ht="21.75" hidden="false" customHeight="true" outlineLevel="0" collapsed="false">
      <c r="B32" s="62" t="s">
        <v>313</v>
      </c>
      <c r="C32" s="62"/>
      <c r="D32" s="62"/>
      <c r="E32" s="62"/>
      <c r="F32" s="62"/>
    </row>
    <row r="33" customFormat="false" ht="21.75" hidden="false" customHeight="true" outlineLevel="0" collapsed="false">
      <c r="B33" s="63" t="s">
        <v>314</v>
      </c>
      <c r="C33" s="63"/>
      <c r="D33" s="63"/>
      <c r="E33" s="63"/>
      <c r="F33" s="63"/>
    </row>
    <row r="34" customFormat="false" ht="21.75" hidden="false" customHeight="true" outlineLevel="0" collapsed="false">
      <c r="B34" s="62" t="s">
        <v>315</v>
      </c>
      <c r="C34" s="62"/>
      <c r="D34" s="62"/>
      <c r="E34" s="62"/>
      <c r="F34" s="62"/>
    </row>
    <row r="35" customFormat="false" ht="15" hidden="false" customHeight="false" outlineLevel="0" collapsed="false">
      <c r="B35" s="23" t="s">
        <v>316</v>
      </c>
      <c r="C35" s="23"/>
      <c r="D35" s="23"/>
      <c r="E35" s="23"/>
      <c r="F35" s="23"/>
    </row>
  </sheetData>
  <mergeCells count="8">
    <mergeCell ref="B2:F2"/>
    <mergeCell ref="B29:F29"/>
    <mergeCell ref="B30:F30"/>
    <mergeCell ref="B31:F31"/>
    <mergeCell ref="B32:F32"/>
    <mergeCell ref="B33:F33"/>
    <mergeCell ref="B34:F34"/>
    <mergeCell ref="B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50"/>
    <col collapsed="false" customWidth="true" hidden="false" outlineLevel="0" max="4" min="4" style="0" width="20"/>
    <col collapsed="false" customWidth="true" hidden="false" outlineLevel="0" max="5" min="5" style="0" width="15"/>
    <col collapsed="false" customWidth="true" hidden="false" outlineLevel="0" max="6" min="6" style="0" width="3"/>
  </cols>
  <sheetData>
    <row r="2" customFormat="false" ht="30" hidden="false" customHeight="true" outlineLevel="0" collapsed="false">
      <c r="B2" s="24" t="s">
        <v>317</v>
      </c>
      <c r="C2" s="24"/>
      <c r="D2" s="24"/>
      <c r="E2" s="24"/>
    </row>
    <row r="3" customFormat="false" ht="15" hidden="false" customHeight="false" outlineLevel="0" collapsed="false">
      <c r="B3" s="64" t="s">
        <v>318</v>
      </c>
      <c r="C3" s="64"/>
      <c r="D3" s="64"/>
      <c r="E3" s="64"/>
    </row>
    <row r="5" customFormat="false" ht="15" hidden="false" customHeight="false" outlineLevel="0" collapsed="false">
      <c r="B5" s="26" t="s">
        <v>28</v>
      </c>
      <c r="C5" s="26" t="s">
        <v>319</v>
      </c>
      <c r="D5" s="26" t="s">
        <v>320</v>
      </c>
      <c r="E5" s="26" t="s">
        <v>321</v>
      </c>
    </row>
    <row r="6" customFormat="false" ht="15" hidden="false" customHeight="false" outlineLevel="0" collapsed="false">
      <c r="B6" s="19" t="s">
        <v>322</v>
      </c>
      <c r="C6" s="8" t="s">
        <v>323</v>
      </c>
      <c r="D6" s="8" t="s">
        <v>324</v>
      </c>
      <c r="E6" s="20" t="s">
        <v>325</v>
      </c>
    </row>
    <row r="7" customFormat="false" ht="15" hidden="false" customHeight="false" outlineLevel="0" collapsed="false">
      <c r="B7" s="21" t="s">
        <v>32</v>
      </c>
      <c r="C7" s="12" t="s">
        <v>326</v>
      </c>
      <c r="D7" s="12" t="s">
        <v>327</v>
      </c>
      <c r="E7" s="22" t="s">
        <v>325</v>
      </c>
    </row>
    <row r="8" customFormat="false" ht="15" hidden="false" customHeight="false" outlineLevel="0" collapsed="false">
      <c r="B8" s="19" t="s">
        <v>36</v>
      </c>
      <c r="C8" s="8" t="s">
        <v>328</v>
      </c>
      <c r="D8" s="8" t="s">
        <v>329</v>
      </c>
      <c r="E8" s="20" t="s">
        <v>330</v>
      </c>
    </row>
    <row r="9" customFormat="false" ht="15" hidden="false" customHeight="false" outlineLevel="0" collapsed="false">
      <c r="B9" s="21" t="s">
        <v>39</v>
      </c>
      <c r="C9" s="12" t="s">
        <v>331</v>
      </c>
      <c r="D9" s="12" t="s">
        <v>332</v>
      </c>
      <c r="E9" s="22" t="s">
        <v>333</v>
      </c>
    </row>
    <row r="10" customFormat="false" ht="15" hidden="false" customHeight="false" outlineLevel="0" collapsed="false">
      <c r="B10" s="19" t="s">
        <v>41</v>
      </c>
      <c r="C10" s="8" t="s">
        <v>334</v>
      </c>
      <c r="D10" s="8" t="s">
        <v>332</v>
      </c>
      <c r="E10" s="20" t="s">
        <v>335</v>
      </c>
    </row>
    <row r="11" customFormat="false" ht="15" hidden="false" customHeight="false" outlineLevel="0" collapsed="false">
      <c r="B11" s="21" t="s">
        <v>44</v>
      </c>
      <c r="C11" s="12" t="s">
        <v>336</v>
      </c>
      <c r="D11" s="12" t="s">
        <v>332</v>
      </c>
      <c r="E11" s="22" t="s">
        <v>337</v>
      </c>
    </row>
    <row r="12" customFormat="false" ht="15" hidden="false" customHeight="false" outlineLevel="0" collapsed="false">
      <c r="B12" s="19" t="s">
        <v>46</v>
      </c>
      <c r="C12" s="8" t="s">
        <v>338</v>
      </c>
      <c r="D12" s="8" t="s">
        <v>339</v>
      </c>
      <c r="E12" s="20" t="s">
        <v>340</v>
      </c>
    </row>
    <row r="13" customFormat="false" ht="15" hidden="false" customHeight="false" outlineLevel="0" collapsed="false">
      <c r="B13" s="21" t="s">
        <v>48</v>
      </c>
      <c r="C13" s="12" t="s">
        <v>341</v>
      </c>
      <c r="D13" s="12" t="s">
        <v>342</v>
      </c>
      <c r="E13" s="22" t="s">
        <v>343</v>
      </c>
    </row>
    <row r="14" customFormat="false" ht="15" hidden="false" customHeight="false" outlineLevel="0" collapsed="false">
      <c r="B14" s="19" t="s">
        <v>36</v>
      </c>
      <c r="C14" s="8" t="s">
        <v>344</v>
      </c>
      <c r="D14" s="8" t="s">
        <v>339</v>
      </c>
      <c r="E14" s="20" t="s">
        <v>345</v>
      </c>
    </row>
    <row r="15" customFormat="false" ht="15" hidden="false" customHeight="false" outlineLevel="0" collapsed="false">
      <c r="B15" s="21" t="s">
        <v>39</v>
      </c>
      <c r="C15" s="12" t="s">
        <v>346</v>
      </c>
      <c r="D15" s="12" t="s">
        <v>339</v>
      </c>
      <c r="E15" s="22" t="s">
        <v>347</v>
      </c>
    </row>
    <row r="16" customFormat="false" ht="15" hidden="false" customHeight="false" outlineLevel="0" collapsed="false">
      <c r="B16" s="19" t="s">
        <v>41</v>
      </c>
      <c r="C16" s="8" t="s">
        <v>348</v>
      </c>
      <c r="D16" s="8" t="s">
        <v>339</v>
      </c>
      <c r="E16" s="20" t="s">
        <v>349</v>
      </c>
    </row>
    <row r="17" customFormat="false" ht="15" hidden="false" customHeight="false" outlineLevel="0" collapsed="false">
      <c r="B17" s="21" t="s">
        <v>39</v>
      </c>
      <c r="C17" s="12" t="s">
        <v>350</v>
      </c>
      <c r="D17" s="12" t="s">
        <v>339</v>
      </c>
      <c r="E17" s="22" t="s">
        <v>351</v>
      </c>
    </row>
    <row r="18" customFormat="false" ht="15" hidden="false" customHeight="false" outlineLevel="0" collapsed="false">
      <c r="B18" s="19" t="s">
        <v>352</v>
      </c>
      <c r="C18" s="8" t="s">
        <v>353</v>
      </c>
      <c r="D18" s="8" t="s">
        <v>354</v>
      </c>
      <c r="E18" s="20" t="s">
        <v>335</v>
      </c>
    </row>
    <row r="20" customFormat="false" ht="15" hidden="false" customHeight="false" outlineLevel="0" collapsed="false">
      <c r="B20" s="65" t="s">
        <v>355</v>
      </c>
      <c r="C20" s="65"/>
      <c r="D20" s="65"/>
      <c r="E20" s="65"/>
    </row>
    <row r="21" customFormat="false" ht="15" hidden="false" customHeight="false" outlineLevel="0" collapsed="false">
      <c r="B21" s="66" t="s">
        <v>356</v>
      </c>
      <c r="C21" s="67" t="s">
        <v>357</v>
      </c>
      <c r="D21" s="67"/>
      <c r="E21" s="67"/>
    </row>
    <row r="22" customFormat="false" ht="15" hidden="false" customHeight="false" outlineLevel="0" collapsed="false">
      <c r="B22" s="4" t="s">
        <v>358</v>
      </c>
      <c r="C22" s="68" t="s">
        <v>359</v>
      </c>
      <c r="D22" s="68"/>
      <c r="E22" s="68"/>
    </row>
    <row r="23" customFormat="false" ht="15" hidden="false" customHeight="false" outlineLevel="0" collapsed="false">
      <c r="B23" s="66" t="s">
        <v>360</v>
      </c>
      <c r="C23" s="67" t="s">
        <v>361</v>
      </c>
      <c r="D23" s="67"/>
      <c r="E23" s="67"/>
    </row>
    <row r="24" customFormat="false" ht="15" hidden="false" customHeight="false" outlineLevel="0" collapsed="false">
      <c r="B24" s="4" t="s">
        <v>2</v>
      </c>
      <c r="C24" s="68" t="s">
        <v>362</v>
      </c>
      <c r="D24" s="68"/>
      <c r="E24" s="68"/>
    </row>
    <row r="25" customFormat="false" ht="15" hidden="false" customHeight="false" outlineLevel="0" collapsed="false">
      <c r="B25" s="66" t="s">
        <v>4</v>
      </c>
      <c r="C25" s="67" t="s">
        <v>363</v>
      </c>
      <c r="D25" s="67"/>
      <c r="E25" s="67"/>
    </row>
    <row r="26" customFormat="false" ht="15" hidden="false" customHeight="false" outlineLevel="0" collapsed="false">
      <c r="B26" s="4" t="s">
        <v>364</v>
      </c>
      <c r="C26" s="68" t="s">
        <v>365</v>
      </c>
      <c r="D26" s="68"/>
      <c r="E26" s="68"/>
    </row>
    <row r="27" customFormat="false" ht="15" hidden="false" customHeight="false" outlineLevel="0" collapsed="false">
      <c r="B27" s="66" t="s">
        <v>6</v>
      </c>
      <c r="C27" s="67" t="s">
        <v>366</v>
      </c>
      <c r="D27" s="67"/>
      <c r="E27" s="67"/>
    </row>
    <row r="28" customFormat="false" ht="15" hidden="false" customHeight="false" outlineLevel="0" collapsed="false">
      <c r="B28" s="4" t="s">
        <v>367</v>
      </c>
      <c r="C28" s="68" t="s">
        <v>368</v>
      </c>
      <c r="D28" s="68"/>
      <c r="E28" s="68"/>
    </row>
    <row r="29" customFormat="false" ht="15" hidden="false" customHeight="false" outlineLevel="0" collapsed="false">
      <c r="B29" s="66" t="s">
        <v>369</v>
      </c>
      <c r="C29" s="67" t="s">
        <v>370</v>
      </c>
      <c r="D29" s="67"/>
      <c r="E29" s="67"/>
    </row>
    <row r="30" customFormat="false" ht="15" hidden="false" customHeight="false" outlineLevel="0" collapsed="false">
      <c r="B30" s="4" t="s">
        <v>371</v>
      </c>
      <c r="C30" s="68" t="s">
        <v>372</v>
      </c>
      <c r="D30" s="68"/>
      <c r="E30" s="68"/>
    </row>
    <row r="31" customFormat="false" ht="15" hidden="false" customHeight="false" outlineLevel="0" collapsed="false">
      <c r="B31" s="66" t="s">
        <v>373</v>
      </c>
      <c r="C31" s="67" t="s">
        <v>374</v>
      </c>
      <c r="D31" s="67"/>
      <c r="E31" s="67"/>
    </row>
    <row r="33" customFormat="false" ht="15" hidden="false" customHeight="false" outlineLevel="0" collapsed="false">
      <c r="B33" s="69" t="s">
        <v>375</v>
      </c>
      <c r="C33" s="69"/>
      <c r="D33" s="69"/>
      <c r="E33" s="69"/>
    </row>
    <row r="34" customFormat="false" ht="15" hidden="false" customHeight="false" outlineLevel="0" collapsed="false">
      <c r="B34" s="23" t="s">
        <v>376</v>
      </c>
      <c r="C34" s="23"/>
      <c r="D34" s="23"/>
      <c r="E34" s="23"/>
    </row>
  </sheetData>
  <mergeCells count="16">
    <mergeCell ref="B2:E2"/>
    <mergeCell ref="B3:E3"/>
    <mergeCell ref="B20:E20"/>
    <mergeCell ref="C21:E21"/>
    <mergeCell ref="C22:E22"/>
    <mergeCell ref="C23:E23"/>
    <mergeCell ref="C24:E24"/>
    <mergeCell ref="C25:E25"/>
    <mergeCell ref="C26:E26"/>
    <mergeCell ref="C27:E27"/>
    <mergeCell ref="C28:E28"/>
    <mergeCell ref="C29:E29"/>
    <mergeCell ref="C30:E30"/>
    <mergeCell ref="C31:E31"/>
    <mergeCell ref="B33:E33"/>
    <mergeCell ref="B34:E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2026-07-01T02:54:49Z</dcterms:created>
  <dc:creator>openpyxl</dc:creator>
  <dc:description/>
  <dc:language>en-US</dc:language>
  <cp:lastModifiedBy/>
  <dcterms:modified xsi:type="dcterms:W3CDTF">2026-07-01T03:07:32Z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