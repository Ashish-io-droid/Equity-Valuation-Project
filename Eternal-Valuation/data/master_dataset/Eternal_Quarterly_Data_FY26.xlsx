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9eccb8f58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295b636ee9e547bd"/>
    <x:sheet xmlns:r="http://schemas.openxmlformats.org/officeDocument/2006/relationships" name="01_Quarterly_Master" sheetId="2" r:id="R079e3bc95c5c4fbf"/>
    <x:sheet xmlns:r="http://schemas.openxmlformats.org/officeDocument/2006/relationships" name="02_Segment_KPIs" sheetId="3" r:id="Rfb7db3fdf79f4bfd"/>
    <x:sheet xmlns:r="http://schemas.openxmlformats.org/officeDocument/2006/relationships" name="03_Checks" sheetId="4" r:id="R580f317b8b534e6f"/>
    <x:sheet xmlns:r="http://schemas.openxmlformats.org/officeDocument/2006/relationships" name="04_Sources_Audit" sheetId="5" r:id="R98d7bae10074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;[Red](0.0%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82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8EE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1" fontId="0" fillId="0" borderId="9" xfId="0" applyNumberFormat="1" applyFont="1" applyFill="1" applyBorder="1"/>
    <x:xf numFmtId="201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6" borderId="1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200" fontId="0" fillId="0" borderId="10" xfId="0" applyNumberFormat="1" applyFont="1" applyFill="1" applyBorder="1"/>
    <x:xf numFmtId="0" fontId="3" fillId="0" borderId="10" xfId="0" applyNumberFormat="1" applyFont="1" applyFill="1" applyBorder="1"/>
    <x:xf numFmtId="0" fontId="3" fillId="0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f74d8b83d4f3f" /><Relationship Type="http://schemas.openxmlformats.org/officeDocument/2006/relationships/theme" Target="/xl/theme/theme1.xml" Id="R624ca8695fa74386" /><Relationship Type="http://schemas.openxmlformats.org/officeDocument/2006/relationships/sharedStrings" Target="/xl/sharedStrings.xml" Id="Raf673f8065d249f9" /><Relationship Type="http://schemas.openxmlformats.org/officeDocument/2006/relationships/worksheet" Target="/xl/worksheets/sheet1.xml" Id="R295b636ee9e547bd" /><Relationship Type="http://schemas.openxmlformats.org/officeDocument/2006/relationships/worksheet" Target="/xl/worksheets/sheet2.xml" Id="R079e3bc95c5c4fbf" /><Relationship Type="http://schemas.openxmlformats.org/officeDocument/2006/relationships/worksheet" Target="/xl/worksheets/sheet3.xml" Id="Rfb7db3fdf79f4bfd" /><Relationship Type="http://schemas.openxmlformats.org/officeDocument/2006/relationships/worksheet" Target="/xl/worksheets/sheet4.xml" Id="R580f317b8b534e6f" /><Relationship Type="http://schemas.openxmlformats.org/officeDocument/2006/relationships/worksheet" Target="/xl/worksheets/sheet5.xml" Id="R98d7bae100744931" /><Relationship Type="http://schemas.microsoft.com/office/2017/10/relationships/person" Target="/xl/persons/person.xml" Id="Rda72c98e76de4063" /></Relationships>
</file>

<file path=xl/persons/person.xml><?xml version="1.0" encoding="utf-8"?>
<xltc:personList xmlns:xltc="http://schemas.microsoft.com/office/spreadsheetml/2018/threadedcomments">
  <xltc:person displayName="User" id="{8DCC29DA-363C-4B86-B8EC-4C4B82E9634D}"/>
</xltc:personList>
</file>

<file path=xl/tables/table1.xml><?xml version="1.0" encoding="utf-8"?>
<x:table xmlns:x="http://schemas.openxmlformats.org/spreadsheetml/2006/main" id="1" name="QuarterlyMasterTable" displayName="QuarterlyMasterTable" ref="A4:M82" headerRowCount="1">
  <x:tableColumns count="13">
    <x:tableColumn id="1" name="Category"/>
    <x:tableColumn id="2" name="Metric"/>
    <x:tableColumn id="3" name="Units"/>
    <x:tableColumn id="4" name="Q4FY25"/>
    <x:tableColumn id="5" name="Q1FY26"/>
    <x:tableColumn id="6" name="Q2FY26"/>
    <x:tableColumn id="7" name="Q3FY26"/>
    <x:tableColumn id="8" name="Q4FY26"/>
    <x:tableColumn id="9" name="Source Reference"/>
    <x:tableColumn id="10" name="Verification Status"/>
    <x:tableColumn id="11" name="Priority"/>
    <x:tableColumn id="12" name="Confidenc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egmentKPITable" displayName="SegmentKPITable" ref="A4:M41" headerRowCount="1">
  <x:tableColumns count="13">
    <x:tableColumn id="1" name="Category"/>
    <x:tableColumn id="2" name="Metric"/>
    <x:tableColumn id="3" name="Units"/>
    <x:tableColumn id="4" name="Q4FY25"/>
    <x:tableColumn id="5" name="Q1FY26"/>
    <x:tableColumn id="6" name="Q2FY26"/>
    <x:tableColumn id="7" name="Q3FY26"/>
    <x:tableColumn id="8" name="Q4FY26"/>
    <x:tableColumn id="9" name="Source Reference"/>
    <x:tableColumn id="10" name="Verification Status"/>
    <x:tableColumn id="11" name="Priority"/>
    <x:tableColumn id="12" name="Confidence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58819fdf474e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a4d4cc97a24a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>
      <x:c r="A1" s="3" t="str">
        <x:v>Eternal Limited - Quarterly Data Pack</x:v>
      </x:c>
    </x:row>
    <x:row r="2">
      <x:c r="A2" s="6" t="str">
        <x:v>Quarterly-only extraction for FY26 source-backed valuation work. Annual reports are intentionally excluded from this file.</x:v>
      </x:c>
    </x:row>
    <x:row r="4">
      <x:c r="A4" s="9" t="str">
        <x:v>Company</x:v>
      </x:c>
      <x:c r="B4" s="10" t="str">
        <x:v>Eternal Limited / Zomato</x:v>
      </x:c>
    </x:row>
    <x:row r="5">
      <x:c r="A5" s="11" t="str">
        <x:v>Scope</x:v>
      </x:c>
      <x:c r="B5" s="12" t="str">
        <x:v>Quarterly results only</x:v>
      </x:c>
    </x:row>
    <x:row r="6">
      <x:c r="A6" s="11" t="str">
        <x:v>Periods</x:v>
      </x:c>
      <x:c r="B6" s="12" t="str">
        <x:v>Q4FY25 comparator plus Q1FY26-Q4FY26</x:v>
      </x:c>
    </x:row>
    <x:row r="7">
      <x:c r="A7" s="11" t="str">
        <x:v>Primary Source</x:v>
      </x:c>
      <x:c r="B7" s="12" t="str">
        <x:v>Eternal_Q4FY26.pdf rolling quarterly disclosure tables</x:v>
      </x:c>
    </x:row>
    <x:row r="8">
      <x:c r="A8" s="11" t="str">
        <x:v>Cross-check Sources</x:v>
      </x:c>
      <x:c r="B8" s="12" t="str">
        <x:v>Eternal_Q1FY26.pdf, Eternal_Q2FY26.pdf, Eternal_Q3FY26.pdf</x:v>
      </x:c>
    </x:row>
    <x:row r="9">
      <x:c r="A9" s="11" t="str">
        <x:v>Currency / units</x:v>
      </x:c>
      <x:c r="B9" s="12" t="str">
        <x:v>INR crore unless otherwise noted</x:v>
      </x:c>
    </x:row>
    <x:row r="10">
      <x:c r="A10" s="11" t="str">
        <x:v>Prepared for</x:v>
      </x:c>
      <x:c r="B10" s="12" t="str">
        <x:v>Phase 2 quarterly data extraction</x:v>
      </x:c>
    </x:row>
    <x:row r="11">
      <x:c r="A11" s="13" t="str">
        <x:v>Status</x:v>
      </x:c>
      <x:c r="B11" s="14" t="str">
        <x:v>Quarterly data populated and checks added</x:v>
      </x:c>
    </x:row>
    <x:row r="13">
      <x:c r="A13" s="17" t="str">
        <x:v>Next use</x:v>
      </x:c>
      <x:c r="B13" t="str">
        <x:v>This file should feed 03_Raw_Data only after the annual historical dataset is complete and the final set of annual/quarterly source conventions is locked.</x:v>
      </x:c>
      <x:c r="C13" t="str"/>
      <x:c r="D13" t="str"/>
      <x:c r="E13" t="str"/>
      <x:c r="F13" t="str"/>
      <x:c r="G13" t="str"/>
      <x:c r="H13" t="str"/>
      <x:c r="I13" t="str"/>
      <x:c r="J13" t="str"/>
    </x:row>
  </x:sheetData>
  <x:mergeCells>
    <x:mergeCell ref="A1:J1"/>
    <x:mergeCell ref="A2:J2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62" hidden="0" customWidth="1"/>
    <x:col min="10" max="10" width="20" hidden="0" customWidth="1"/>
    <x:col min="11" max="11" width="13" hidden="0" customWidth="1"/>
    <x:col min="12" max="12" width="24" hidden="0" customWidth="1"/>
    <x:col min="13" max="13" width="32" hidden="0" customWidth="1"/>
  </x:cols>
  <x:sheetData>
    <x:row r="1">
      <x:c r="A1" s="3" t="str">
        <x:v>Quarterly Master Extraction Table</x:v>
      </x:c>
    </x:row>
    <x:row r="2">
      <x:c r="A2" s="6" t="str">
        <x:v>One row per metric with period values, source reference, confidence, priority, and extraction notes.</x:v>
      </x:c>
    </x:row>
    <x:row r="4">
      <x:c r="A4" s="22" t="str">
        <x:v>Category</x:v>
      </x:c>
      <x:c r="B4" s="22" t="str">
        <x:v>Metric</x:v>
      </x:c>
      <x:c r="C4" s="22" t="str">
        <x:v>Units</x:v>
      </x:c>
      <x:c r="D4" s="22" t="str">
        <x:v>Q4FY25</x:v>
      </x:c>
      <x:c r="E4" s="22" t="str">
        <x:v>Q1FY26</x:v>
      </x:c>
      <x:c r="F4" s="22" t="str">
        <x:v>Q2FY26</x:v>
      </x:c>
      <x:c r="G4" s="22" t="str">
        <x:v>Q3FY26</x:v>
      </x:c>
      <x:c r="H4" s="22" t="str">
        <x:v>Q4FY26</x:v>
      </x:c>
      <x:c r="I4" s="22" t="str">
        <x:v>Source Reference</x:v>
      </x:c>
      <x:c r="J4" s="22" t="str">
        <x:v>Verification Status</x:v>
      </x:c>
      <x:c r="K4" s="22" t="str">
        <x:v>Priority</x:v>
      </x:c>
      <x:c r="L4" s="22" t="str">
        <x:v>Confidence</x:v>
      </x:c>
      <x:c r="M4" s="22" t="str">
        <x:v>Notes</x:v>
      </x:c>
    </x:row>
    <x:row r="5">
      <x:c r="A5" s="30" t="str">
        <x:v>Consolidated</x:v>
      </x:c>
      <x:c r="B5" s="30" t="str">
        <x:v>Food delivery NOV</x:v>
      </x:c>
      <x:c r="C5" s="30" t="str">
        <x:v>INR crore</x:v>
      </x:c>
      <x:c r="D5" s="31" t="n">
        <x:v>8210</x:v>
      </x:c>
      <x:c r="E5" s="31" t="n">
        <x:v>8967</x:v>
      </x:c>
      <x:c r="F5" s="31" t="n">
        <x:v>9423</x:v>
      </x:c>
      <x:c r="G5" s="31" t="n">
        <x:v>9846</x:v>
      </x:c>
      <x:c r="H5" s="31" t="n">
        <x:v>9757</x:v>
      </x:c>
      <x:c r="I5" s="30" t="str">
        <x:v>S8 | Eternal_Q4FY26.pdf | PDF p12 / filing p11 | Annexure A - Quarterly disclosures</x:v>
      </x:c>
      <x:c r="J5" s="30" t="str">
        <x:v>Verified visually</x:v>
      </x:c>
      <x:c r="K5" s="30" t="str">
        <x:v>Required</x:v>
      </x:c>
      <x:c r="L5" s="30" t="str">
        <x:v>Official quarterly filing</x:v>
      </x:c>
      <x:c r="M5" s="30" t="str">
        <x:v>B2C NOV table</x:v>
      </x:c>
    </x:row>
    <x:row r="6">
      <x:c r="A6" s="32" t="str">
        <x:v>Consolidated</x:v>
      </x:c>
      <x:c r="B6" s="32" t="str">
        <x:v>Quick commerce NOV</x:v>
      </x:c>
      <x:c r="C6" s="32" t="str">
        <x:v>INR crore</x:v>
      </x:c>
      <x:c r="D6" s="33" t="n">
        <x:v>7362</x:v>
      </x:c>
      <x:c r="E6" s="33" t="n">
        <x:v>9203</x:v>
      </x:c>
      <x:c r="F6" s="33" t="n">
        <x:v>11679</x:v>
      </x:c>
      <x:c r="G6" s="33" t="n">
        <x:v>13300</x:v>
      </x:c>
      <x:c r="H6" s="33" t="n">
        <x:v>14386</x:v>
      </x:c>
      <x:c r="I6" s="32" t="str">
        <x:v>S8 | Eternal_Q4FY26.pdf | PDF p12 / filing p11 | Annexure A - Quarterly disclosures</x:v>
      </x:c>
      <x:c r="J6" s="32" t="str">
        <x:v>Verified visually</x:v>
      </x:c>
      <x:c r="K6" s="32" t="str">
        <x:v>Required</x:v>
      </x:c>
      <x:c r="L6" s="32" t="str">
        <x:v>Official quarterly filing</x:v>
      </x:c>
      <x:c r="M6" s="32" t="str">
        <x:v>B2C NOV table</x:v>
      </x:c>
    </x:row>
    <x:row r="7">
      <x:c r="A7" s="32" t="str">
        <x:v>Consolidated</x:v>
      </x:c>
      <x:c r="B7" s="32" t="str">
        <x:v>Going-out NOV</x:v>
      </x:c>
      <x:c r="C7" s="32" t="str">
        <x:v>INR crore</x:v>
      </x:c>
      <x:c r="D7" s="33" t="n">
        <x:v>1868</x:v>
      </x:c>
      <x:c r="E7" s="33" t="n">
        <x:v>2013</x:v>
      </x:c>
      <x:c r="F7" s="33" t="n">
        <x:v>2063</x:v>
      </x:c>
      <x:c r="G7" s="33" t="n">
        <x:v>2587</x:v>
      </x:c>
      <x:c r="H7" s="33" t="n">
        <x:v>2736</x:v>
      </x:c>
      <x:c r="I7" s="32" t="str">
        <x:v>S8 | Eternal_Q4FY26.pdf | PDF p12 / filing p11 | Annexure A - Quarterly disclosures</x:v>
      </x:c>
      <x:c r="J7" s="32" t="str">
        <x:v>Verified visually</x:v>
      </x:c>
      <x:c r="K7" s="32" t="str">
        <x:v>Required</x:v>
      </x:c>
      <x:c r="L7" s="32" t="str">
        <x:v>Official quarterly filing</x:v>
      </x:c>
      <x:c r="M7" s="32" t="str">
        <x:v>B2C NOV table</x:v>
      </x:c>
    </x:row>
    <x:row r="8">
      <x:c r="A8" s="32" t="str">
        <x:v>Consolidated</x:v>
      </x:c>
      <x:c r="B8" s="32" t="str">
        <x:v>B2C NOV</x:v>
      </x:c>
      <x:c r="C8" s="32" t="str">
        <x:v>INR crore</x:v>
      </x:c>
      <x:c r="D8" s="33" t="n">
        <x:v>17440</x:v>
      </x:c>
      <x:c r="E8" s="33" t="n">
        <x:v>20183</x:v>
      </x:c>
      <x:c r="F8" s="33" t="n">
        <x:v>23164</x:v>
      </x:c>
      <x:c r="G8" s="33" t="n">
        <x:v>25732</x:v>
      </x:c>
      <x:c r="H8" s="33" t="n">
        <x:v>26880</x:v>
      </x:c>
      <x:c r="I8" s="32" t="str">
        <x:v>S8 | Eternal_Q4FY26.pdf | PDF p12 / filing p11 | Annexure A - Quarterly disclosures</x:v>
      </x:c>
      <x:c r="J8" s="32" t="str">
        <x:v>Verified visually</x:v>
      </x:c>
      <x:c r="K8" s="32" t="str">
        <x:v>Required</x:v>
      </x:c>
      <x:c r="L8" s="32" t="str">
        <x:v>Official quarterly filing</x:v>
      </x:c>
      <x:c r="M8" s="32" t="str">
        <x:v>Total per filing</x:v>
      </x:c>
    </x:row>
    <x:row r="9">
      <x:c r="A9" s="32" t="str">
        <x:v>Consolidated</x:v>
      </x:c>
      <x:c r="B9" s="32" t="str">
        <x:v>B2C NOV YoY growth</x:v>
      </x:c>
      <x:c r="C9" s="32" t="str">
        <x:v>%</x:v>
      </x:c>
      <x:c r="D9" s="34" t="n">
        <x:v>0.534</x:v>
      </x:c>
      <x:c r="E9" s="34" t="n">
        <x:v>0.55</x:v>
      </x:c>
      <x:c r="F9" s="34" t="n">
        <x:v>0.568</x:v>
      </x:c>
      <x:c r="G9" s="34" t="n">
        <x:v>0.548</x:v>
      </x:c>
      <x:c r="H9" s="34" t="n">
        <x:v>0.541</x:v>
      </x:c>
      <x:c r="I9" s="32" t="str">
        <x:v>S8 | Eternal_Q4FY26.pdf | PDF p12 / filing p11 | Annexure A - Quarterly disclosures</x:v>
      </x:c>
      <x:c r="J9" s="32" t="str">
        <x:v>Verified visually</x:v>
      </x:c>
      <x:c r="K9" s="32" t="str">
        <x:v>Optional</x:v>
      </x:c>
      <x:c r="L9" s="32" t="str">
        <x:v>Official quarterly filing</x:v>
      </x:c>
      <x:c r="M9" s="32" t="str">
        <x:v>Reported YoY growth</x:v>
      </x:c>
    </x:row>
    <x:row r="10">
      <x:c r="A10" s="32" t="str">
        <x:v>Consolidated</x:v>
      </x:c>
      <x:c r="B10" s="32" t="str">
        <x:v>Food delivery adjusted revenue</x:v>
      </x:c>
      <x:c r="C10" s="32" t="str">
        <x:v>INR crore</x:v>
      </x:c>
      <x:c r="D10" s="33" t="n">
        <x:v>2409</x:v>
      </x:c>
      <x:c r="E10" s="33" t="n">
        <x:v>2657</x:v>
      </x:c>
      <x:c r="F10" s="33" t="n">
        <x:v>2863</x:v>
      </x:c>
      <x:c r="G10" s="33" t="n">
        <x:v>3053</x:v>
      </x:c>
      <x:c r="H10" s="33" t="n">
        <x:v>3125</x:v>
      </x:c>
      <x:c r="I10" s="32" t="str">
        <x:v>S8 | Eternal_Q4FY26.pdf | PDF p12 / filing p11 | Annexure A - Quarterly disclosures</x:v>
      </x:c>
      <x:c r="J10" s="32" t="str">
        <x:v>Verified visually</x:v>
      </x:c>
      <x:c r="K10" s="32" t="str">
        <x:v>Required</x:v>
      </x:c>
      <x:c r="L10" s="32" t="str">
        <x:v>Official quarterly filing</x:v>
      </x:c>
      <x:c r="M10" s="32" t="str">
        <x:v>Segment adjusted revenue</x:v>
      </x:c>
    </x:row>
    <x:row r="11">
      <x:c r="A11" s="32" t="str">
        <x:v>Consolidated</x:v>
      </x:c>
      <x:c r="B11" s="32" t="str">
        <x:v>Quick commerce adjusted revenue</x:v>
      </x:c>
      <x:c r="C11" s="32" t="str">
        <x:v>INR crore</x:v>
      </x:c>
      <x:c r="D11" s="33" t="n">
        <x:v>1709</x:v>
      </x:c>
      <x:c r="E11" s="33" t="n">
        <x:v>2400</x:v>
      </x:c>
      <x:c r="F11" s="33" t="n">
        <x:v>9891</x:v>
      </x:c>
      <x:c r="G11" s="33" t="n">
        <x:v>12256</x:v>
      </x:c>
      <x:c r="H11" s="33" t="n">
        <x:v>13232</x:v>
      </x:c>
      <x:c r="I11" s="32" t="str">
        <x:v>S8 | Eternal_Q4FY26.pdf | PDF p12 / filing p11 | Annexure A - Quarterly disclosures</x:v>
      </x:c>
      <x:c r="J11" s="32" t="str">
        <x:v>Verified visually</x:v>
      </x:c>
      <x:c r="K11" s="32" t="str">
        <x:v>Required</x:v>
      </x:c>
      <x:c r="L11" s="32" t="str">
        <x:v>Official quarterly filing</x:v>
      </x:c>
      <x:c r="M11" s="32" t="str">
        <x:v>Segment adjusted revenue</x:v>
      </x:c>
    </x:row>
    <x:row r="12">
      <x:c r="A12" s="32" t="str">
        <x:v>Consolidated</x:v>
      </x:c>
      <x:c r="B12" s="32" t="str">
        <x:v>Going-out adjusted revenue</x:v>
      </x:c>
      <x:c r="C12" s="32" t="str">
        <x:v>INR crore</x:v>
      </x:c>
      <x:c r="D12" s="33" t="n">
        <x:v>229</x:v>
      </x:c>
      <x:c r="E12" s="33" t="n">
        <x:v>207</x:v>
      </x:c>
      <x:c r="F12" s="33" t="n">
        <x:v>189</x:v>
      </x:c>
      <x:c r="G12" s="33" t="n">
        <x:v>300</x:v>
      </x:c>
      <x:c r="H12" s="33" t="n">
        <x:v>277</x:v>
      </x:c>
      <x:c r="I12" s="32" t="str">
        <x:v>S8 | Eternal_Q4FY26.pdf | PDF p12 / filing p11 | Annexure A - Quarterly disclosures</x:v>
      </x:c>
      <x:c r="J12" s="32" t="str">
        <x:v>Verified visually</x:v>
      </x:c>
      <x:c r="K12" s="32" t="str">
        <x:v>Required</x:v>
      </x:c>
      <x:c r="L12" s="32" t="str">
        <x:v>Official quarterly filing</x:v>
      </x:c>
      <x:c r="M12" s="32" t="str">
        <x:v>Segment adjusted revenue</x:v>
      </x:c>
    </x:row>
    <x:row r="13">
      <x:c r="A13" s="32" t="str">
        <x:v>Consolidated</x:v>
      </x:c>
      <x:c r="B13" s="32" t="str">
        <x:v>B2B supplies (Hyperpure) adjusted revenue</x:v>
      </x:c>
      <x:c r="C13" s="32" t="str">
        <x:v>INR crore</x:v>
      </x:c>
      <x:c r="D13" s="33" t="n">
        <x:v>1840</x:v>
      </x:c>
      <x:c r="E13" s="33" t="n">
        <x:v>2295</x:v>
      </x:c>
      <x:c r="F13" s="33" t="n">
        <x:v>1023</x:v>
      </x:c>
      <x:c r="G13" s="33" t="n">
        <x:v>1070</x:v>
      </x:c>
      <x:c r="H13" s="33" t="n">
        <x:v>978</x:v>
      </x:c>
      <x:c r="I13" s="32" t="str">
        <x:v>S8 | Eternal_Q4FY26.pdf | PDF p12 / filing p11 | Annexure A - Quarterly disclosures</x:v>
      </x:c>
      <x:c r="J13" s="32" t="str">
        <x:v>Verified visually</x:v>
      </x:c>
      <x:c r="K13" s="32" t="str">
        <x:v>Required</x:v>
      </x:c>
      <x:c r="L13" s="32" t="str">
        <x:v>Official quarterly filing</x:v>
      </x:c>
      <x:c r="M13" s="32" t="str">
        <x:v>Segment adjusted revenue</x:v>
      </x:c>
    </x:row>
    <x:row r="14">
      <x:c r="A14" s="32" t="str">
        <x:v>Consolidated</x:v>
      </x:c>
      <x:c r="B14" s="32" t="str">
        <x:v>Others adjusted revenue</x:v>
      </x:c>
      <x:c r="C14" s="32" t="str">
        <x:v>INR crore</x:v>
      </x:c>
      <x:c r="D14" s="33" t="n">
        <x:v>1</x:v>
      </x:c>
      <x:c r="E14" s="33" t="n">
        <x:v>4</x:v>
      </x:c>
      <x:c r="F14" s="33" t="n">
        <x:v>2</x:v>
      </x:c>
      <x:c r="G14" s="33" t="n">
        <x:v>13</x:v>
      </x:c>
      <x:c r="H14" s="33" t="n">
        <x:v>68</x:v>
      </x:c>
      <x:c r="I14" s="32" t="str">
        <x:v>S8 | Eternal_Q4FY26.pdf | PDF p12 / filing p11 | Annexure A - Quarterly disclosures</x:v>
      </x:c>
      <x:c r="J14" s="32" t="str">
        <x:v>Verified visually</x:v>
      </x:c>
      <x:c r="K14" s="32" t="str">
        <x:v>Required</x:v>
      </x:c>
      <x:c r="L14" s="32" t="str">
        <x:v>Official quarterly filing</x:v>
      </x:c>
      <x:c r="M14" s="32" t="str">
        <x:v>Segment adjusted revenue</x:v>
      </x:c>
    </x:row>
    <x:row r="15">
      <x:c r="A15" s="32" t="str">
        <x:v>Consolidated</x:v>
      </x:c>
      <x:c r="B15" s="32" t="str">
        <x:v>Adjusted revenue</x:v>
      </x:c>
      <x:c r="C15" s="32" t="str">
        <x:v>INR crore</x:v>
      </x:c>
      <x:c r="D15" s="33" t="n">
        <x:v>6188</x:v>
      </x:c>
      <x:c r="E15" s="33" t="n">
        <x:v>7563</x:v>
      </x:c>
      <x:c r="F15" s="33" t="n">
        <x:v>13968</x:v>
      </x:c>
      <x:c r="G15" s="33" t="n">
        <x:v>16692</x:v>
      </x:c>
      <x:c r="H15" s="33" t="n">
        <x:v>17680</x:v>
      </x:c>
      <x:c r="I15" s="32" t="str">
        <x:v>S8 | Eternal_Q4FY26.pdf | PDF p12 / filing p11 | Annexure A - Quarterly disclosures</x:v>
      </x:c>
      <x:c r="J15" s="32" t="str">
        <x:v>Verified visually</x:v>
      </x:c>
      <x:c r="K15" s="32" t="str">
        <x:v>Required</x:v>
      </x:c>
      <x:c r="L15" s="32" t="str">
        <x:v>Official quarterly filing</x:v>
      </x:c>
      <x:c r="M15" s="32" t="str">
        <x:v>Reported consolidated total</x:v>
      </x:c>
    </x:row>
    <x:row r="16">
      <x:c r="A16" s="32" t="str">
        <x:v>Consolidated</x:v>
      </x:c>
      <x:c r="B16" s="32" t="str">
        <x:v>Adjusted revenue YoY growth</x:v>
      </x:c>
      <x:c r="C16" s="32" t="str">
        <x:v>%</x:v>
      </x:c>
      <x:c r="D16" s="34" t="n">
        <x:v>0.598</x:v>
      </x:c>
      <x:c r="E16" s="34" t="n">
        <x:v>0.673</x:v>
      </x:c>
      <x:c r="F16" s="34" t="n">
        <x:v>1.724</x:v>
      </x:c>
      <x:c r="G16" s="34" t="n">
        <x:v>1.905</x:v>
      </x:c>
      <x:c r="H16" s="34" t="n">
        <x:v>1.857</x:v>
      </x:c>
      <x:c r="I16" s="32" t="str">
        <x:v>S8 | Eternal_Q4FY26.pdf | PDF p12 / filing p11 | Annexure A - Quarterly disclosures</x:v>
      </x:c>
      <x:c r="J16" s="32" t="str">
        <x:v>Verified visually</x:v>
      </x:c>
      <x:c r="K16" s="32" t="str">
        <x:v>Optional</x:v>
      </x:c>
      <x:c r="L16" s="32" t="str">
        <x:v>Official quarterly filing</x:v>
      </x:c>
      <x:c r="M16" s="32" t="str">
        <x:v>Reported YoY growth</x:v>
      </x:c>
    </x:row>
    <x:row r="17">
      <x:c r="A17" s="32" t="str">
        <x:v>Consolidated</x:v>
      </x:c>
      <x:c r="B17" s="32" t="str">
        <x:v>Food delivery adjusted EBITDA</x:v>
      </x:c>
      <x:c r="C17" s="32" t="str">
        <x:v>INR crore</x:v>
      </x:c>
      <x:c r="D17" s="33" t="n">
        <x:v>428</x:v>
      </x:c>
      <x:c r="E17" s="33" t="n">
        <x:v>451</x:v>
      </x:c>
      <x:c r="F17" s="33" t="n">
        <x:v>503</x:v>
      </x:c>
      <x:c r="G17" s="33" t="n">
        <x:v>531</x:v>
      </x:c>
      <x:c r="H17" s="33" t="n">
        <x:v>532</x:v>
      </x:c>
      <x:c r="I17" s="32" t="str">
        <x:v>S8 | Eternal_Q4FY26.pdf | PDF p12 / filing p11 | Annexure A - Quarterly disclosures</x:v>
      </x:c>
      <x:c r="J17" s="32" t="str">
        <x:v>Verified visually</x:v>
      </x:c>
      <x:c r="K17" s="32" t="str">
        <x:v>Required</x:v>
      </x:c>
      <x:c r="L17" s="32" t="str">
        <x:v>Official quarterly filing</x:v>
      </x:c>
      <x:c r="M17" s="32" t="str">
        <x:v>Segment adjusted EBITDA</x:v>
      </x:c>
    </x:row>
    <x:row r="18">
      <x:c r="A18" s="32" t="str">
        <x:v>Consolidated</x:v>
      </x:c>
      <x:c r="B18" s="32" t="str">
        <x:v>Quick commerce adjusted EBITDA</x:v>
      </x:c>
      <x:c r="C18" s="32" t="str">
        <x:v>INR crore</x:v>
      </x:c>
      <x:c r="D18" s="33" t="n">
        <x:v>-178</x:v>
      </x:c>
      <x:c r="E18" s="33" t="n">
        <x:v>-162</x:v>
      </x:c>
      <x:c r="F18" s="33" t="n">
        <x:v>-156</x:v>
      </x:c>
      <x:c r="G18" s="33" t="n">
        <x:v>4</x:v>
      </x:c>
      <x:c r="H18" s="33" t="n">
        <x:v>37</x:v>
      </x:c>
      <x:c r="I18" s="32" t="str">
        <x:v>S8 | Eternal_Q4FY26.pdf | PDF p12 / filing p11 | Annexure A - Quarterly disclosures</x:v>
      </x:c>
      <x:c r="J18" s="32" t="str">
        <x:v>Verified visually</x:v>
      </x:c>
      <x:c r="K18" s="32" t="str">
        <x:v>Required</x:v>
      </x:c>
      <x:c r="L18" s="32" t="str">
        <x:v>Official quarterly filing</x:v>
      </x:c>
      <x:c r="M18" s="32" t="str">
        <x:v>Segment adjusted EBITDA</x:v>
      </x:c>
    </x:row>
    <x:row r="19">
      <x:c r="A19" s="32" t="str">
        <x:v>Consolidated</x:v>
      </x:c>
      <x:c r="B19" s="32" t="str">
        <x:v>Going-out adjusted EBITDA</x:v>
      </x:c>
      <x:c r="C19" s="32" t="str">
        <x:v>INR crore</x:v>
      </x:c>
      <x:c r="D19" s="33" t="n">
        <x:v>-47</x:v>
      </x:c>
      <x:c r="E19" s="33" t="n">
        <x:v>-54</x:v>
      </x:c>
      <x:c r="F19" s="33" t="n">
        <x:v>-63</x:v>
      </x:c>
      <x:c r="G19" s="33" t="n">
        <x:v>-121</x:v>
      </x:c>
      <x:c r="H19" s="33" t="n">
        <x:v>-81</x:v>
      </x:c>
      <x:c r="I19" s="32" t="str">
        <x:v>S8 | Eternal_Q4FY26.pdf | PDF p12 / filing p11 | Annexure A - Quarterly disclosures</x:v>
      </x:c>
      <x:c r="J19" s="32" t="str">
        <x:v>Verified visually</x:v>
      </x:c>
      <x:c r="K19" s="32" t="str">
        <x:v>Required</x:v>
      </x:c>
      <x:c r="L19" s="32" t="str">
        <x:v>Official quarterly filing</x:v>
      </x:c>
      <x:c r="M19" s="32" t="str">
        <x:v>Segment adjusted EBITDA</x:v>
      </x:c>
    </x:row>
    <x:row r="20">
      <x:c r="A20" s="32" t="str">
        <x:v>Consolidated</x:v>
      </x:c>
      <x:c r="B20" s="32" t="str">
        <x:v>B2B supplies (Hyperpure) adjusted EBITDA</x:v>
      </x:c>
      <x:c r="C20" s="32" t="str">
        <x:v>INR crore</x:v>
      </x:c>
      <x:c r="D20" s="33" t="n">
        <x:v>-22</x:v>
      </x:c>
      <x:c r="E20" s="33" t="n">
        <x:v>-18</x:v>
      </x:c>
      <x:c r="F20" s="33" t="n">
        <x:v>-5</x:v>
      </x:c>
      <x:c r="G20" s="33" t="n">
        <x:v>1</x:v>
      </x:c>
      <x:c r="H20" s="33" t="n">
        <x:v>5</x:v>
      </x:c>
      <x:c r="I20" s="32" t="str">
        <x:v>S8 | Eternal_Q4FY26.pdf | PDF p12 / filing p11 | Annexure A - Quarterly disclosures</x:v>
      </x:c>
      <x:c r="J20" s="32" t="str">
        <x:v>Verified visually</x:v>
      </x:c>
      <x:c r="K20" s="32" t="str">
        <x:v>Required</x:v>
      </x:c>
      <x:c r="L20" s="32" t="str">
        <x:v>Official quarterly filing</x:v>
      </x:c>
      <x:c r="M20" s="32" t="str">
        <x:v>Segment adjusted EBITDA</x:v>
      </x:c>
    </x:row>
    <x:row r="21">
      <x:c r="A21" s="32" t="str">
        <x:v>Consolidated</x:v>
      </x:c>
      <x:c r="B21" s="32" t="str">
        <x:v>Others adjusted EBITDA</x:v>
      </x:c>
      <x:c r="C21" s="32" t="str">
        <x:v>INR crore</x:v>
      </x:c>
      <x:c r="D21" s="33" t="n">
        <x:v>-16</x:v>
      </x:c>
      <x:c r="E21" s="33" t="n">
        <x:v>-45</x:v>
      </x:c>
      <x:c r="F21" s="33" t="n">
        <x:v>-55</x:v>
      </x:c>
      <x:c r="G21" s="33" t="n">
        <x:v>-51</x:v>
      </x:c>
      <x:c r="H21" s="33" t="n">
        <x:v>-64</x:v>
      </x:c>
      <x:c r="I21" s="32" t="str">
        <x:v>S8 | Eternal_Q4FY26.pdf | PDF p12 / filing p11 | Annexure A - Quarterly disclosures</x:v>
      </x:c>
      <x:c r="J21" s="32" t="str">
        <x:v>Verified visually</x:v>
      </x:c>
      <x:c r="K21" s="32" t="str">
        <x:v>Required</x:v>
      </x:c>
      <x:c r="L21" s="32" t="str">
        <x:v>Official quarterly filing</x:v>
      </x:c>
      <x:c r="M21" s="32" t="str">
        <x:v>Segment adjusted EBITDA</x:v>
      </x:c>
    </x:row>
    <x:row r="22">
      <x:c r="A22" s="32" t="str">
        <x:v>Consolidated</x:v>
      </x:c>
      <x:c r="B22" s="32" t="str">
        <x:v>Adjusted EBITDA</x:v>
      </x:c>
      <x:c r="C22" s="32" t="str">
        <x:v>INR crore</x:v>
      </x:c>
      <x:c r="D22" s="33" t="n">
        <x:v>165</x:v>
      </x:c>
      <x:c r="E22" s="33" t="n">
        <x:v>172</x:v>
      </x:c>
      <x:c r="F22" s="33" t="n">
        <x:v>224</x:v>
      </x:c>
      <x:c r="G22" s="33" t="n">
        <x:v>364</x:v>
      </x:c>
      <x:c r="H22" s="33" t="n">
        <x:v>429</x:v>
      </x:c>
      <x:c r="I22" s="32" t="str">
        <x:v>S8 | Eternal_Q4FY26.pdf | PDF p12 / filing p11 | Annexure A - Quarterly disclosures</x:v>
      </x:c>
      <x:c r="J22" s="32" t="str">
        <x:v>Verified visually</x:v>
      </x:c>
      <x:c r="K22" s="32" t="str">
        <x:v>Required</x:v>
      </x:c>
      <x:c r="L22" s="32" t="str">
        <x:v>Official quarterly filing</x:v>
      </x:c>
      <x:c r="M22" s="32" t="str">
        <x:v>Reported consolidated total</x:v>
      </x:c>
    </x:row>
    <x:row r="23">
      <x:c r="A23" s="32" t="str">
        <x:v>Food delivery</x:v>
      </x:c>
      <x:c r="B23" s="32" t="str">
        <x:v>NOV</x:v>
      </x:c>
      <x:c r="C23" s="32" t="str">
        <x:v>INR crore</x:v>
      </x:c>
      <x:c r="D23" s="33" t="n">
        <x:v>8210</x:v>
      </x:c>
      <x:c r="E23" s="33" t="n">
        <x:v>8967</x:v>
      </x:c>
      <x:c r="F23" s="33" t="n">
        <x:v>9423</x:v>
      </x:c>
      <x:c r="G23" s="33" t="n">
        <x:v>9846</x:v>
      </x:c>
      <x:c r="H23" s="33" t="n">
        <x:v>9757</x:v>
      </x:c>
      <x:c r="I23" s="32" t="str">
        <x:v>S8 | Eternal_Q4FY26.pdf | PDF p13 / filing p12 | Food delivery and quick commerce metrics</x:v>
      </x:c>
      <x:c r="J23" s="32" t="str">
        <x:v>Verified visually</x:v>
      </x:c>
      <x:c r="K23" s="32" t="str">
        <x:v>Required</x:v>
      </x:c>
      <x:c r="L23" s="32" t="str">
        <x:v>Official quarterly filing</x:v>
      </x:c>
      <x:c r="M23" s="32" t="str">
        <x:v>Segment table</x:v>
      </x:c>
    </x:row>
    <x:row r="24">
      <x:c r="A24" s="32" t="str">
        <x:v>Food delivery</x:v>
      </x:c>
      <x:c r="B24" s="32" t="str">
        <x:v>NOV YoY growth</x:v>
      </x:c>
      <x:c r="C24" s="32" t="str">
        <x:v>%</x:v>
      </x:c>
      <x:c r="D24" s="34" t="n">
        <x:v>0.142</x:v>
      </x:c>
      <x:c r="E24" s="34" t="n">
        <x:v>0.131</x:v>
      </x:c>
      <x:c r="F24" s="34" t="n">
        <x:v>0.138</x:v>
      </x:c>
      <x:c r="G24" s="34" t="n">
        <x:v>0.166</x:v>
      </x:c>
      <x:c r="H24" s="34" t="n">
        <x:v>0.188</x:v>
      </x:c>
      <x:c r="I24" s="32" t="str">
        <x:v>S8 | Eternal_Q4FY26.pdf | PDF p13 / filing p12 | Food delivery and quick commerce metrics</x:v>
      </x:c>
      <x:c r="J24" s="32" t="str">
        <x:v>Verified visually</x:v>
      </x:c>
      <x:c r="K24" s="32" t="str">
        <x:v>Optional</x:v>
      </x:c>
      <x:c r="L24" s="32" t="str">
        <x:v>Official quarterly filing</x:v>
      </x:c>
      <x:c r="M24" s="32" t="str">
        <x:v>Segment table</x:v>
      </x:c>
    </x:row>
    <x:row r="25">
      <x:c r="A25" s="32" t="str">
        <x:v>Food delivery</x:v>
      </x:c>
      <x:c r="B25" s="32" t="str">
        <x:v>Adjusted revenue</x:v>
      </x:c>
      <x:c r="C25" s="32" t="str">
        <x:v>INR crore</x:v>
      </x:c>
      <x:c r="D25" s="33" t="n">
        <x:v>2409</x:v>
      </x:c>
      <x:c r="E25" s="33" t="n">
        <x:v>2657</x:v>
      </x:c>
      <x:c r="F25" s="33" t="n">
        <x:v>2863</x:v>
      </x:c>
      <x:c r="G25" s="33" t="n">
        <x:v>3053</x:v>
      </x:c>
      <x:c r="H25" s="33" t="n">
        <x:v>3125</x:v>
      </x:c>
      <x:c r="I25" s="32" t="str">
        <x:v>S8 | Eternal_Q4FY26.pdf | PDF p13 / filing p12 | Food delivery and quick commerce metrics</x:v>
      </x:c>
      <x:c r="J25" s="32" t="str">
        <x:v>Verified visually</x:v>
      </x:c>
      <x:c r="K25" s="32" t="str">
        <x:v>Required</x:v>
      </x:c>
      <x:c r="L25" s="32" t="str">
        <x:v>Official quarterly filing</x:v>
      </x:c>
      <x:c r="M25" s="32" t="str">
        <x:v>Segment table</x:v>
      </x:c>
    </x:row>
    <x:row r="26">
      <x:c r="A26" s="32" t="str">
        <x:v>Food delivery</x:v>
      </x:c>
      <x:c r="B26" s="32" t="str">
        <x:v>Adjusted revenue YoY growth</x:v>
      </x:c>
      <x:c r="C26" s="32" t="str">
        <x:v>%</x:v>
      </x:c>
      <x:c r="D26" s="34" t="n">
        <x:v>0.175</x:v>
      </x:c>
      <x:c r="E26" s="34" t="n">
        <x:v>0.178</x:v>
      </x:c>
      <x:c r="F26" s="34" t="n">
        <x:v>0.224</x:v>
      </x:c>
      <x:c r="G26" s="34" t="n">
        <x:v>0.265</x:v>
      </x:c>
      <x:c r="H26" s="34" t="n">
        <x:v>0.297</x:v>
      </x:c>
      <x:c r="I26" s="32" t="str">
        <x:v>S8 | Eternal_Q4FY26.pdf | PDF p13 / filing p12 | Food delivery and quick commerce metrics</x:v>
      </x:c>
      <x:c r="J26" s="32" t="str">
        <x:v>Verified visually</x:v>
      </x:c>
      <x:c r="K26" s="32" t="str">
        <x:v>Optional</x:v>
      </x:c>
      <x:c r="L26" s="32" t="str">
        <x:v>Official quarterly filing</x:v>
      </x:c>
      <x:c r="M26" s="32" t="str">
        <x:v>Segment table</x:v>
      </x:c>
    </x:row>
    <x:row r="27">
      <x:c r="A27" s="32" t="str">
        <x:v>Food delivery</x:v>
      </x:c>
      <x:c r="B27" s="32" t="str">
        <x:v>Contribution</x:v>
      </x:c>
      <x:c r="C27" s="32" t="str">
        <x:v>INR crore</x:v>
      </x:c>
      <x:c r="D27" s="33" t="n">
        <x:v>842</x:v>
      </x:c>
      <x:c r="E27" s="33" t="n">
        <x:v>885</x:v>
      </x:c>
      <x:c r="F27" s="33" t="n">
        <x:v>976</x:v>
      </x:c>
      <x:c r="G27" s="33" t="n">
        <x:v>1023</x:v>
      </x:c>
      <x:c r="H27" s="33" t="n">
        <x:v>998</x:v>
      </x:c>
      <x:c r="I27" s="32" t="str">
        <x:v>S8 | Eternal_Q4FY26.pdf | PDF p13 / filing p12 | Food delivery and quick commerce metrics</x:v>
      </x:c>
      <x:c r="J27" s="32" t="str">
        <x:v>Verified visually</x:v>
      </x:c>
      <x:c r="K27" s="32" t="str">
        <x:v>Required</x:v>
      </x:c>
      <x:c r="L27" s="32" t="str">
        <x:v>Official quarterly filing</x:v>
      </x:c>
      <x:c r="M27" s="32" t="str">
        <x:v>Segment table</x:v>
      </x:c>
    </x:row>
    <x:row r="28">
      <x:c r="A28" s="32" t="str">
        <x:v>Food delivery</x:v>
      </x:c>
      <x:c r="B28" s="32" t="str">
        <x:v>Contribution margin</x:v>
      </x:c>
      <x:c r="C28" s="32" t="str">
        <x:v>% of NOV</x:v>
      </x:c>
      <x:c r="D28" s="34" t="n">
        <x:v>0.103</x:v>
      </x:c>
      <x:c r="E28" s="34" t="n">
        <x:v>0.099</x:v>
      </x:c>
      <x:c r="F28" s="34" t="n">
        <x:v>0.104</x:v>
      </x:c>
      <x:c r="G28" s="34" t="n">
        <x:v>0.104</x:v>
      </x:c>
      <x:c r="H28" s="34" t="n">
        <x:v>0.102</x:v>
      </x:c>
      <x:c r="I28" s="32" t="str">
        <x:v>S8 | Eternal_Q4FY26.pdf | PDF p13 / filing p12 | Food delivery and quick commerce metrics</x:v>
      </x:c>
      <x:c r="J28" s="32" t="str">
        <x:v>Verified visually</x:v>
      </x:c>
      <x:c r="K28" s="32" t="str">
        <x:v>Required</x:v>
      </x:c>
      <x:c r="L28" s="32" t="str">
        <x:v>Official quarterly filing</x:v>
      </x:c>
      <x:c r="M28" s="32" t="str">
        <x:v>Segment table</x:v>
      </x:c>
    </x:row>
    <x:row r="29">
      <x:c r="A29" s="32" t="str">
        <x:v>Food delivery</x:v>
      </x:c>
      <x:c r="B29" s="32" t="str">
        <x:v>Adjusted EBITDA</x:v>
      </x:c>
      <x:c r="C29" s="32" t="str">
        <x:v>INR crore</x:v>
      </x:c>
      <x:c r="D29" s="33" t="n">
        <x:v>428</x:v>
      </x:c>
      <x:c r="E29" s="33" t="n">
        <x:v>451</x:v>
      </x:c>
      <x:c r="F29" s="33" t="n">
        <x:v>503</x:v>
      </x:c>
      <x:c r="G29" s="33" t="n">
        <x:v>531</x:v>
      </x:c>
      <x:c r="H29" s="33" t="n">
        <x:v>532</x:v>
      </x:c>
      <x:c r="I29" s="32" t="str">
        <x:v>S8 | Eternal_Q4FY26.pdf | PDF p13 / filing p12 | Food delivery and quick commerce metrics</x:v>
      </x:c>
      <x:c r="J29" s="32" t="str">
        <x:v>Verified visually</x:v>
      </x:c>
      <x:c r="K29" s="32" t="str">
        <x:v>Required</x:v>
      </x:c>
      <x:c r="L29" s="32" t="str">
        <x:v>Official quarterly filing</x:v>
      </x:c>
      <x:c r="M29" s="32" t="str">
        <x:v>Segment table</x:v>
      </x:c>
    </x:row>
    <x:row r="30">
      <x:c r="A30" s="32" t="str">
        <x:v>Food delivery</x:v>
      </x:c>
      <x:c r="B30" s="32" t="str">
        <x:v>Adjusted EBITDA margin</x:v>
      </x:c>
      <x:c r="C30" s="32" t="str">
        <x:v>% of NOV</x:v>
      </x:c>
      <x:c r="D30" s="34" t="n">
        <x:v>0.052</x:v>
      </x:c>
      <x:c r="E30" s="34" t="n">
        <x:v>0.05</x:v>
      </x:c>
      <x:c r="F30" s="34" t="n">
        <x:v>0.053</x:v>
      </x:c>
      <x:c r="G30" s="34" t="n">
        <x:v>0.054</x:v>
      </x:c>
      <x:c r="H30" s="34" t="n">
        <x:v>0.055</x:v>
      </x:c>
      <x:c r="I30" s="32" t="str">
        <x:v>S8 | Eternal_Q4FY26.pdf | PDF p13 / filing p12 | Food delivery and quick commerce metrics</x:v>
      </x:c>
      <x:c r="J30" s="32" t="str">
        <x:v>Verified visually</x:v>
      </x:c>
      <x:c r="K30" s="32" t="str">
        <x:v>Required</x:v>
      </x:c>
      <x:c r="L30" s="32" t="str">
        <x:v>Official quarterly filing</x:v>
      </x:c>
      <x:c r="M30" s="32" t="str">
        <x:v>Segment table</x:v>
      </x:c>
    </x:row>
    <x:row r="31">
      <x:c r="A31" s="32" t="str">
        <x:v>Food delivery</x:v>
      </x:c>
      <x:c r="B31" s="32" t="str">
        <x:v>Average monthly transacting customers</x:v>
      </x:c>
      <x:c r="C31" s="32" t="str">
        <x:v>million</x:v>
      </x:c>
      <x:c r="D31" s="33" t="n">
        <x:v>20.9</x:v>
      </x:c>
      <x:c r="E31" s="33" t="n">
        <x:v>22.9</x:v>
      </x:c>
      <x:c r="F31" s="33" t="n">
        <x:v>24.1</x:v>
      </x:c>
      <x:c r="G31" s="33" t="n">
        <x:v>24.9</x:v>
      </x:c>
      <x:c r="H31" s="33" t="n">
        <x:v>25.4</x:v>
      </x:c>
      <x:c r="I31" s="32" t="str">
        <x:v>S8 | Eternal_Q4FY26.pdf | PDF p13 / filing p12 | Food delivery and quick commerce metrics</x:v>
      </x:c>
      <x:c r="J31" s="32" t="str">
        <x:v>Verified visually</x:v>
      </x:c>
      <x:c r="K31" s="32" t="str">
        <x:v>Required</x:v>
      </x:c>
      <x:c r="L31" s="32" t="str">
        <x:v>Official quarterly filing</x:v>
      </x:c>
      <x:c r="M31" s="32" t="str">
        <x:v>Operating metrics</x:v>
      </x:c>
    </x:row>
    <x:row r="32">
      <x:c r="A32" s="32" t="str">
        <x:v>Food delivery</x:v>
      </x:c>
      <x:c r="B32" s="32" t="str">
        <x:v>Average monthly active restaurant partners</x:v>
      </x:c>
      <x:c r="C32" s="32" t="str">
        <x:v>'000</x:v>
      </x:c>
      <x:c r="D32" s="33" t="n">
        <x:v>314</x:v>
      </x:c>
      <x:c r="E32" s="33" t="n">
        <x:v>313</x:v>
      </x:c>
      <x:c r="F32" s="33" t="n">
        <x:v>327</x:v>
      </x:c>
      <x:c r="G32" s="33" t="n">
        <x:v>336</x:v>
      </x:c>
      <x:c r="H32" s="33" t="n">
        <x:v>344</x:v>
      </x:c>
      <x:c r="I32" s="32" t="str">
        <x:v>S8 | Eternal_Q4FY26.pdf | PDF p13 / filing p12 | Food delivery and quick commerce metrics</x:v>
      </x:c>
      <x:c r="J32" s="32" t="str">
        <x:v>Verified visually</x:v>
      </x:c>
      <x:c r="K32" s="32" t="str">
        <x:v>Optional</x:v>
      </x:c>
      <x:c r="L32" s="32" t="str">
        <x:v>Official quarterly filing</x:v>
      </x:c>
      <x:c r="M32" s="32" t="str">
        <x:v>Operating metrics</x:v>
      </x:c>
    </x:row>
    <x:row r="33">
      <x:c r="A33" s="32" t="str">
        <x:v>Food delivery</x:v>
      </x:c>
      <x:c r="B33" s="32" t="str">
        <x:v>Average monthly active delivery partners</x:v>
      </x:c>
      <x:c r="C33" s="32" t="str">
        <x:v>'000</x:v>
      </x:c>
      <x:c r="D33" s="33" t="n">
        <x:v>444</x:v>
      </x:c>
      <x:c r="E33" s="33" t="n">
        <x:v>509</x:v>
      </x:c>
      <x:c r="F33" s="33" t="n">
        <x:v>555</x:v>
      </x:c>
      <x:c r="G33" s="33" t="n">
        <x:v>567</x:v>
      </x:c>
      <x:c r="H33" s="33" t="n">
        <x:v>576</x:v>
      </x:c>
      <x:c r="I33" s="32" t="str">
        <x:v>S8 | Eternal_Q4FY26.pdf | PDF p13 / filing p12 | Food delivery and quick commerce metrics</x:v>
      </x:c>
      <x:c r="J33" s="32" t="str">
        <x:v>Verified visually</x:v>
      </x:c>
      <x:c r="K33" s="32" t="str">
        <x:v>Optional</x:v>
      </x:c>
      <x:c r="L33" s="32" t="str">
        <x:v>Official quarterly filing</x:v>
      </x:c>
      <x:c r="M33" s="32" t="str">
        <x:v>Operating metrics</x:v>
      </x:c>
    </x:row>
    <x:row r="34">
      <x:c r="A34" s="32" t="str">
        <x:v>Quick commerce</x:v>
      </x:c>
      <x:c r="B34" s="32" t="str">
        <x:v>NOV</x:v>
      </x:c>
      <x:c r="C34" s="32" t="str">
        <x:v>INR crore</x:v>
      </x:c>
      <x:c r="D34" s="33" t="n">
        <x:v>7362</x:v>
      </x:c>
      <x:c r="E34" s="33" t="n">
        <x:v>9203</x:v>
      </x:c>
      <x:c r="F34" s="33" t="n">
        <x:v>11679</x:v>
      </x:c>
      <x:c r="G34" s="33" t="n">
        <x:v>13300</x:v>
      </x:c>
      <x:c r="H34" s="33" t="n">
        <x:v>14386</x:v>
      </x:c>
      <x:c r="I34" s="32" t="str">
        <x:v>S8 | Eternal_Q4FY26.pdf | PDF p13 / filing p12 | Food delivery and quick commerce metrics</x:v>
      </x:c>
      <x:c r="J34" s="32" t="str">
        <x:v>Verified visually</x:v>
      </x:c>
      <x:c r="K34" s="32" t="str">
        <x:v>Required</x:v>
      </x:c>
      <x:c r="L34" s="32" t="str">
        <x:v>Official quarterly filing</x:v>
      </x:c>
      <x:c r="M34" s="32" t="str">
        <x:v>Segment table</x:v>
      </x:c>
    </x:row>
    <x:row r="35">
      <x:c r="A35" s="32" t="str">
        <x:v>Quick commerce</x:v>
      </x:c>
      <x:c r="B35" s="32" t="str">
        <x:v>NOV YoY growth</x:v>
      </x:c>
      <x:c r="C35" s="32" t="str">
        <x:v>%</x:v>
      </x:c>
      <x:c r="D35" s="34" t="n">
        <x:v>1.207</x:v>
      </x:c>
      <x:c r="E35" s="34" t="n">
        <x:v>1.266</x:v>
      </x:c>
      <x:c r="F35" s="34" t="n">
        <x:v>1.37</x:v>
      </x:c>
      <x:c r="G35" s="34" t="n">
        <x:v>1.209</x:v>
      </x:c>
      <x:c r="H35" s="34" t="n">
        <x:v>0.954</x:v>
      </x:c>
      <x:c r="I35" s="32" t="str">
        <x:v>S8 | Eternal_Q4FY26.pdf | PDF p13 / filing p12 | Food delivery and quick commerce metrics</x:v>
      </x:c>
      <x:c r="J35" s="32" t="str">
        <x:v>Verified visually</x:v>
      </x:c>
      <x:c r="K35" s="32" t="str">
        <x:v>Optional</x:v>
      </x:c>
      <x:c r="L35" s="32" t="str">
        <x:v>Official quarterly filing</x:v>
      </x:c>
      <x:c r="M35" s="32" t="str">
        <x:v>Segment table</x:v>
      </x:c>
    </x:row>
    <x:row r="36">
      <x:c r="A36" s="32" t="str">
        <x:v>Quick commerce</x:v>
      </x:c>
      <x:c r="B36" s="32" t="str">
        <x:v>Revenue</x:v>
      </x:c>
      <x:c r="C36" s="32" t="str">
        <x:v>INR crore</x:v>
      </x:c>
      <x:c r="D36" s="33" t="n">
        <x:v>1709</x:v>
      </x:c>
      <x:c r="E36" s="33" t="n">
        <x:v>2400</x:v>
      </x:c>
      <x:c r="F36" s="33" t="n">
        <x:v>9891</x:v>
      </x:c>
      <x:c r="G36" s="33" t="n">
        <x:v>12256</x:v>
      </x:c>
      <x:c r="H36" s="33" t="n">
        <x:v>13232</x:v>
      </x:c>
      <x:c r="I36" s="32" t="str">
        <x:v>S8 | Eternal_Q4FY26.pdf | PDF p13 / filing p12 | Food delivery and quick commerce metrics</x:v>
      </x:c>
      <x:c r="J36" s="32" t="str">
        <x:v>Verified visually</x:v>
      </x:c>
      <x:c r="K36" s="32" t="str">
        <x:v>Required</x:v>
      </x:c>
      <x:c r="L36" s="32" t="str">
        <x:v>Official quarterly filing</x:v>
      </x:c>
      <x:c r="M36" s="32" t="str">
        <x:v>Segment table</x:v>
      </x:c>
    </x:row>
    <x:row r="37">
      <x:c r="A37" s="32" t="str">
        <x:v>Quick commerce</x:v>
      </x:c>
      <x:c r="B37" s="32" t="str">
        <x:v>Revenue YoY growth</x:v>
      </x:c>
      <x:c r="C37" s="32" t="str">
        <x:v>%</x:v>
      </x:c>
      <x:c r="D37" s="34" t="n">
        <x:v>1.222</x:v>
      </x:c>
      <x:c r="E37" s="34" t="n">
        <x:v>1.548</x:v>
      </x:c>
      <x:c r="F37" s="34" t="n">
        <x:v>7.556</x:v>
      </x:c>
      <x:c r="G37" s="34" t="n">
        <x:v>7.761</x:v>
      </x:c>
      <x:c r="H37" s="34" t="n">
        <x:v>6.743</x:v>
      </x:c>
      <x:c r="I37" s="32" t="str">
        <x:v>S8 | Eternal_Q4FY26.pdf | PDF p13 / filing p12 | Food delivery and quick commerce metrics</x:v>
      </x:c>
      <x:c r="J37" s="32" t="str">
        <x:v>Verified visually</x:v>
      </x:c>
      <x:c r="K37" s="32" t="str">
        <x:v>Optional</x:v>
      </x:c>
      <x:c r="L37" s="32" t="str">
        <x:v>Official quarterly filing</x:v>
      </x:c>
      <x:c r="M37" s="32" t="str">
        <x:v>Segment table</x:v>
      </x:c>
    </x:row>
    <x:row r="38">
      <x:c r="A38" s="32" t="str">
        <x:v>Quick commerce</x:v>
      </x:c>
      <x:c r="B38" s="32" t="str">
        <x:v>Gross profit</x:v>
      </x:c>
      <x:c r="C38" s="32" t="str">
        <x:v>INR crore</x:v>
      </x:c>
      <x:c r="D38" s="33" t="n">
        <x:v>1709</x:v>
      </x:c>
      <x:c r="E38" s="33" t="n">
        <x:v>2168</x:v>
      </x:c>
      <x:c r="F38" s="33" t="n">
        <x:v>3132</x:v>
      </x:c>
      <x:c r="G38" s="33" t="n">
        <x:v>3539</x:v>
      </x:c>
      <x:c r="H38" s="33" t="n">
        <x:v>3867</x:v>
      </x:c>
      <x:c r="I38" s="32" t="str">
        <x:v>S8 | Eternal_Q4FY26.pdf | PDF p13 / filing p12 | Food delivery and quick commerce metrics</x:v>
      </x:c>
      <x:c r="J38" s="32" t="str">
        <x:v>Verified visually</x:v>
      </x:c>
      <x:c r="K38" s="32" t="str">
        <x:v>Required</x:v>
      </x:c>
      <x:c r="L38" s="32" t="str">
        <x:v>Official quarterly filing</x:v>
      </x:c>
      <x:c r="M38" s="32" t="str">
        <x:v>Segment table</x:v>
      </x:c>
    </x:row>
    <x:row r="39">
      <x:c r="A39" s="32" t="str">
        <x:v>Quick commerce</x:v>
      </x:c>
      <x:c r="B39" s="32" t="str">
        <x:v>Gross profit margin</x:v>
      </x:c>
      <x:c r="C39" s="32" t="str">
        <x:v>% of NOV</x:v>
      </x:c>
      <x:c r="D39" s="34" t="n">
        <x:v>0.232</x:v>
      </x:c>
      <x:c r="E39" s="34" t="n">
        <x:v>0.236</x:v>
      </x:c>
      <x:c r="F39" s="34" t="n">
        <x:v>0.268</x:v>
      </x:c>
      <x:c r="G39" s="34" t="n">
        <x:v>0.266</x:v>
      </x:c>
      <x:c r="H39" s="34" t="n">
        <x:v>0.269</x:v>
      </x:c>
      <x:c r="I39" s="32" t="str">
        <x:v>S8 | Eternal_Q4FY26.pdf | PDF p13 / filing p12 | Food delivery and quick commerce metrics</x:v>
      </x:c>
      <x:c r="J39" s="32" t="str">
        <x:v>Verified visually</x:v>
      </x:c>
      <x:c r="K39" s="32" t="str">
        <x:v>Required</x:v>
      </x:c>
      <x:c r="L39" s="32" t="str">
        <x:v>Official quarterly filing</x:v>
      </x:c>
      <x:c r="M39" s="32" t="str">
        <x:v>Segment table</x:v>
      </x:c>
    </x:row>
    <x:row r="40">
      <x:c r="A40" s="32" t="str">
        <x:v>Quick commerce</x:v>
      </x:c>
      <x:c r="B40" s="32" t="str">
        <x:v>Contribution</x:v>
      </x:c>
      <x:c r="C40" s="32" t="str">
        <x:v>INR crore</x:v>
      </x:c>
      <x:c r="D40" s="33" t="n">
        <x:v>289</x:v>
      </x:c>
      <x:c r="E40" s="33" t="n">
        <x:v>360</x:v>
      </x:c>
      <x:c r="F40" s="33" t="n">
        <x:v>542</x:v>
      </x:c>
      <x:c r="G40" s="33" t="n">
        <x:v>736</x:v>
      </x:c>
      <x:c r="H40" s="33" t="n">
        <x:v>782</x:v>
      </x:c>
      <x:c r="I40" s="32" t="str">
        <x:v>S8 | Eternal_Q4FY26.pdf | PDF p13 / filing p12 | Food delivery and quick commerce metrics</x:v>
      </x:c>
      <x:c r="J40" s="32" t="str">
        <x:v>Verified visually</x:v>
      </x:c>
      <x:c r="K40" s="32" t="str">
        <x:v>Required</x:v>
      </x:c>
      <x:c r="L40" s="32" t="str">
        <x:v>Official quarterly filing</x:v>
      </x:c>
      <x:c r="M40" s="32" t="str">
        <x:v>Segment table</x:v>
      </x:c>
    </x:row>
    <x:row r="41">
      <x:c r="A41" s="32" t="str">
        <x:v>Quick commerce</x:v>
      </x:c>
      <x:c r="B41" s="32" t="str">
        <x:v>Contribution margin</x:v>
      </x:c>
      <x:c r="C41" s="32" t="str">
        <x:v>% of NOV</x:v>
      </x:c>
      <x:c r="D41" s="34" t="n">
        <x:v>0.039</x:v>
      </x:c>
      <x:c r="E41" s="34" t="n">
        <x:v>0.039</x:v>
      </x:c>
      <x:c r="F41" s="34" t="n">
        <x:v>0.046</x:v>
      </x:c>
      <x:c r="G41" s="34" t="n">
        <x:v>0.055</x:v>
      </x:c>
      <x:c r="H41" s="34" t="n">
        <x:v>0.054</x:v>
      </x:c>
      <x:c r="I41" s="32" t="str">
        <x:v>S8 | Eternal_Q4FY26.pdf | PDF p13 / filing p12 | Food delivery and quick commerce metrics</x:v>
      </x:c>
      <x:c r="J41" s="32" t="str">
        <x:v>Verified visually</x:v>
      </x:c>
      <x:c r="K41" s="32" t="str">
        <x:v>Required</x:v>
      </x:c>
      <x:c r="L41" s="32" t="str">
        <x:v>Official quarterly filing</x:v>
      </x:c>
      <x:c r="M41" s="32" t="str">
        <x:v>Segment table</x:v>
      </x:c>
    </x:row>
    <x:row r="42">
      <x:c r="A42" s="32" t="str">
        <x:v>Quick commerce</x:v>
      </x:c>
      <x:c r="B42" s="32" t="str">
        <x:v>Adjusted EBITDA</x:v>
      </x:c>
      <x:c r="C42" s="32" t="str">
        <x:v>INR crore</x:v>
      </x:c>
      <x:c r="D42" s="33" t="n">
        <x:v>-178</x:v>
      </x:c>
      <x:c r="E42" s="33" t="n">
        <x:v>-162</x:v>
      </x:c>
      <x:c r="F42" s="33" t="n">
        <x:v>-156</x:v>
      </x:c>
      <x:c r="G42" s="33" t="n">
        <x:v>4</x:v>
      </x:c>
      <x:c r="H42" s="33" t="n">
        <x:v>37</x:v>
      </x:c>
      <x:c r="I42" s="32" t="str">
        <x:v>S8 | Eternal_Q4FY26.pdf | PDF p13 / filing p12 | Food delivery and quick commerce metrics</x:v>
      </x:c>
      <x:c r="J42" s="32" t="str">
        <x:v>Verified visually</x:v>
      </x:c>
      <x:c r="K42" s="32" t="str">
        <x:v>Required</x:v>
      </x:c>
      <x:c r="L42" s="32" t="str">
        <x:v>Official quarterly filing</x:v>
      </x:c>
      <x:c r="M42" s="32" t="str">
        <x:v>Segment table</x:v>
      </x:c>
    </x:row>
    <x:row r="43">
      <x:c r="A43" s="32" t="str">
        <x:v>Quick commerce</x:v>
      </x:c>
      <x:c r="B43" s="32" t="str">
        <x:v>Adjusted EBITDA margin</x:v>
      </x:c>
      <x:c r="C43" s="32" t="str">
        <x:v>% of NOV</x:v>
      </x:c>
      <x:c r="D43" s="34" t="n">
        <x:v>-0.024</x:v>
      </x:c>
      <x:c r="E43" s="34" t="n">
        <x:v>-0.018</x:v>
      </x:c>
      <x:c r="F43" s="34" t="n">
        <x:v>-0.013</x:v>
      </x:c>
      <x:c r="G43" s="34" t="n">
        <x:v>0</x:v>
      </x:c>
      <x:c r="H43" s="34" t="n">
        <x:v>0.003</x:v>
      </x:c>
      <x:c r="I43" s="32" t="str">
        <x:v>S8 | Eternal_Q4FY26.pdf | PDF p13 / filing p12 | Food delivery and quick commerce metrics</x:v>
      </x:c>
      <x:c r="J43" s="32" t="str">
        <x:v>Verified visually</x:v>
      </x:c>
      <x:c r="K43" s="32" t="str">
        <x:v>Required</x:v>
      </x:c>
      <x:c r="L43" s="32" t="str">
        <x:v>Official quarterly filing</x:v>
      </x:c>
      <x:c r="M43" s="32" t="str">
        <x:v>Segment table</x:v>
      </x:c>
    </x:row>
    <x:row r="44">
      <x:c r="A44" s="32" t="str">
        <x:v>Quick commerce</x:v>
      </x:c>
      <x:c r="B44" s="32" t="str">
        <x:v>Orders</x:v>
      </x:c>
      <x:c r="C44" s="32" t="str">
        <x:v>million</x:v>
      </x:c>
      <x:c r="D44" s="33" t="n">
        <x:v>141.7</x:v>
      </x:c>
      <x:c r="E44" s="33" t="n">
        <x:v>176.7</x:v>
      </x:c>
      <x:c r="F44" s="33" t="n">
        <x:v>222.7</x:v>
      </x:c>
      <x:c r="G44" s="33" t="n">
        <x:v>243.3</x:v>
      </x:c>
      <x:c r="H44" s="33" t="n">
        <x:v>273.9</x:v>
      </x:c>
      <x:c r="I44" s="32" t="str">
        <x:v>S8 | Eternal_Q4FY26.pdf | PDF p13 / filing p12 | Food delivery and quick commerce metrics</x:v>
      </x:c>
      <x:c r="J44" s="32" t="str">
        <x:v>Verified visually</x:v>
      </x:c>
      <x:c r="K44" s="32" t="str">
        <x:v>Required</x:v>
      </x:c>
      <x:c r="L44" s="32" t="str">
        <x:v>Official quarterly filing</x:v>
      </x:c>
      <x:c r="M44" s="32" t="str">
        <x:v>Operating metrics</x:v>
      </x:c>
    </x:row>
    <x:row r="45">
      <x:c r="A45" s="32" t="str">
        <x:v>Quick commerce</x:v>
      </x:c>
      <x:c r="B45" s="32" t="str">
        <x:v>Net average order value</x:v>
      </x:c>
      <x:c r="C45" s="32" t="str">
        <x:v>INR</x:v>
      </x:c>
      <x:c r="D45" s="33" t="n">
        <x:v>520</x:v>
      </x:c>
      <x:c r="E45" s="33" t="n">
        <x:v>521</x:v>
      </x:c>
      <x:c r="F45" s="33" t="n">
        <x:v>524</x:v>
      </x:c>
      <x:c r="G45" s="33" t="n">
        <x:v>547</x:v>
      </x:c>
      <x:c r="H45" s="33" t="n">
        <x:v>525</x:v>
      </x:c>
      <x:c r="I45" s="32" t="str">
        <x:v>S8 | Eternal_Q4FY26.pdf | PDF p13 / filing p12 | Food delivery and quick commerce metrics</x:v>
      </x:c>
      <x:c r="J45" s="32" t="str">
        <x:v>Verified visually</x:v>
      </x:c>
      <x:c r="K45" s="32" t="str">
        <x:v>Required</x:v>
      </x:c>
      <x:c r="L45" s="32" t="str">
        <x:v>Official quarterly filing</x:v>
      </x:c>
      <x:c r="M45" s="32" t="str">
        <x:v>Operating metrics</x:v>
      </x:c>
    </x:row>
    <x:row r="46">
      <x:c r="A46" s="32" t="str">
        <x:v>Quick commerce</x:v>
      </x:c>
      <x:c r="B46" s="32" t="str">
        <x:v>Average monthly transacting customers</x:v>
      </x:c>
      <x:c r="C46" s="32" t="str">
        <x:v>million</x:v>
      </x:c>
      <x:c r="D46" s="33" t="n">
        <x:v>13.7</x:v>
      </x:c>
      <x:c r="E46" s="33" t="n">
        <x:v>16.9</x:v>
      </x:c>
      <x:c r="F46" s="33" t="n">
        <x:v>20.8</x:v>
      </x:c>
      <x:c r="G46" s="33" t="n">
        <x:v>23.6</x:v>
      </x:c>
      <x:c r="H46" s="33" t="n">
        <x:v>27.2</x:v>
      </x:c>
      <x:c r="I46" s="32" t="str">
        <x:v>S8 | Eternal_Q4FY26.pdf | PDF p13 / filing p12 | Food delivery and quick commerce metrics</x:v>
      </x:c>
      <x:c r="J46" s="32" t="str">
        <x:v>Verified visually</x:v>
      </x:c>
      <x:c r="K46" s="32" t="str">
        <x:v>Required</x:v>
      </x:c>
      <x:c r="L46" s="32" t="str">
        <x:v>Official quarterly filing</x:v>
      </x:c>
      <x:c r="M46" s="32" t="str">
        <x:v>Operating metrics</x:v>
      </x:c>
    </x:row>
    <x:row r="47">
      <x:c r="A47" s="32" t="str">
        <x:v>Quick commerce</x:v>
      </x:c>
      <x:c r="B47" s="32" t="str">
        <x:v>Average monthly active delivery partners</x:v>
      </x:c>
      <x:c r="C47" s="32" t="str">
        <x:v>'000</x:v>
      </x:c>
      <x:c r="D47" s="33" t="n">
        <x:v>185</x:v>
      </x:c>
      <x:c r="E47" s="33" t="n">
        <x:v>243</x:v>
      </x:c>
      <x:c r="F47" s="33" t="n">
        <x:v>339</x:v>
      </x:c>
      <x:c r="G47" s="33" t="n">
        <x:v>369</x:v>
      </x:c>
      <x:c r="H47" s="33" t="n">
        <x:v>409</x:v>
      </x:c>
      <x:c r="I47" s="32" t="str">
        <x:v>S8 | Eternal_Q4FY26.pdf | PDF p13 / filing p12 | Food delivery and quick commerce metrics</x:v>
      </x:c>
      <x:c r="J47" s="32" t="str">
        <x:v>Verified visually</x:v>
      </x:c>
      <x:c r="K47" s="32" t="str">
        <x:v>Optional</x:v>
      </x:c>
      <x:c r="L47" s="32" t="str">
        <x:v>Official quarterly filing</x:v>
      </x:c>
      <x:c r="M47" s="32" t="str">
        <x:v>Operating metrics</x:v>
      </x:c>
    </x:row>
    <x:row r="48">
      <x:c r="A48" s="32" t="str">
        <x:v>Quick commerce</x:v>
      </x:c>
      <x:c r="B48" s="32" t="str">
        <x:v>Average NOV per day per store</x:v>
      </x:c>
      <x:c r="C48" s="32" t="str">
        <x:v>INR '000</x:v>
      </x:c>
      <x:c r="D48" s="33" t="n">
        <x:v>736</x:v>
      </x:c>
      <x:c r="E48" s="33" t="n">
        <x:v>734</x:v>
      </x:c>
      <x:c r="F48" s="33" t="n">
        <x:v>771</x:v>
      </x:c>
      <x:c r="G48" s="33" t="n">
        <x:v>750</x:v>
      </x:c>
      <x:c r="H48" s="33" t="n">
        <x:v>768</x:v>
      </x:c>
      <x:c r="I48" s="32" t="str">
        <x:v>S8 | Eternal_Q4FY26.pdf | PDF p13 / filing p12 | Food delivery and quick commerce metrics</x:v>
      </x:c>
      <x:c r="J48" s="32" t="str">
        <x:v>Verified visually</x:v>
      </x:c>
      <x:c r="K48" s="32" t="str">
        <x:v>Optional</x:v>
      </x:c>
      <x:c r="L48" s="32" t="str">
        <x:v>Official quarterly filing</x:v>
      </x:c>
      <x:c r="M48" s="32" t="str">
        <x:v>Operating metrics</x:v>
      </x:c>
    </x:row>
    <x:row r="49">
      <x:c r="A49" s="32" t="str">
        <x:v>Quick commerce</x:v>
      </x:c>
      <x:c r="B49" s="32" t="str">
        <x:v>Stores at period end</x:v>
      </x:c>
      <x:c r="C49" s="32" t="str">
        <x:v>#</x:v>
      </x:c>
      <x:c r="D49" s="33" t="n">
        <x:v>1301</x:v>
      </x:c>
      <x:c r="E49" s="33" t="n">
        <x:v>1544</x:v>
      </x:c>
      <x:c r="F49" s="33" t="n">
        <x:v>1816</x:v>
      </x:c>
      <x:c r="G49" s="33" t="n">
        <x:v>2027</x:v>
      </x:c>
      <x:c r="H49" s="33" t="n">
        <x:v>2243</x:v>
      </x:c>
      <x:c r="I49" s="32" t="str">
        <x:v>S8 | Eternal_Q4FY26.pdf | PDF p13 / filing p12 | Food delivery and quick commerce metrics</x:v>
      </x:c>
      <x:c r="J49" s="32" t="str">
        <x:v>Verified visually</x:v>
      </x:c>
      <x:c r="K49" s="32" t="str">
        <x:v>Required</x:v>
      </x:c>
      <x:c r="L49" s="32" t="str">
        <x:v>Official quarterly filing</x:v>
      </x:c>
      <x:c r="M49" s="32" t="str">
        <x:v>Operating metrics</x:v>
      </x:c>
    </x:row>
    <x:row r="50">
      <x:c r="A50" s="32" t="str">
        <x:v>Going-out</x:v>
      </x:c>
      <x:c r="B50" s="32" t="str">
        <x:v>NOV</x:v>
      </x:c>
      <x:c r="C50" s="32" t="str">
        <x:v>INR crore</x:v>
      </x:c>
      <x:c r="D50" s="33" t="n">
        <x:v>1868</x:v>
      </x:c>
      <x:c r="E50" s="33" t="n">
        <x:v>2013</x:v>
      </x:c>
      <x:c r="F50" s="33" t="n">
        <x:v>2063</x:v>
      </x:c>
      <x:c r="G50" s="33" t="n">
        <x:v>2587</x:v>
      </x:c>
      <x:c r="H50" s="33" t="n">
        <x:v>2736</x:v>
      </x:c>
      <x:c r="I50" s="32" t="str">
        <x:v>S8 | Eternal_Q4FY26.pdf | PDF p14 / filing p13 | Going-out, Hyperpure, cash balance</x:v>
      </x:c>
      <x:c r="J50" s="32" t="str">
        <x:v>Verified visually</x:v>
      </x:c>
      <x:c r="K50" s="32" t="str">
        <x:v>Required</x:v>
      </x:c>
      <x:c r="L50" s="32" t="str">
        <x:v>Official quarterly filing</x:v>
      </x:c>
      <x:c r="M50" s="32" t="str">
        <x:v>Segment table</x:v>
      </x:c>
    </x:row>
    <x:row r="51">
      <x:c r="A51" s="32" t="str">
        <x:v>Going-out</x:v>
      </x:c>
      <x:c r="B51" s="32" t="str">
        <x:v>NOV YoY growth</x:v>
      </x:c>
      <x:c r="C51" s="32" t="str">
        <x:v>%</x:v>
      </x:c>
      <x:c r="D51" s="34" t="n">
        <x:v>1.222</x:v>
      </x:c>
      <x:c r="E51" s="34" t="n">
        <x:v>0.953</x:v>
      </x:c>
      <x:c r="F51" s="34" t="n">
        <x:v>0.32</x:v>
      </x:c>
      <x:c r="G51" s="34" t="n">
        <x:v>0.199</x:v>
      </x:c>
      <x:c r="H51" s="34" t="n">
        <x:v>0.465</x:v>
      </x:c>
      <x:c r="I51" s="32" t="str">
        <x:v>S8 | Eternal_Q4FY26.pdf | PDF p14 / filing p13 | Going-out, Hyperpure, cash balance</x:v>
      </x:c>
      <x:c r="J51" s="32" t="str">
        <x:v>Verified visually</x:v>
      </x:c>
      <x:c r="K51" s="32" t="str">
        <x:v>Optional</x:v>
      </x:c>
      <x:c r="L51" s="32" t="str">
        <x:v>Official quarterly filing</x:v>
      </x:c>
      <x:c r="M51" s="32" t="str">
        <x:v>Segment table</x:v>
      </x:c>
    </x:row>
    <x:row r="52">
      <x:c r="A52" s="32" t="str">
        <x:v>Going-out</x:v>
      </x:c>
      <x:c r="B52" s="32" t="str">
        <x:v>Revenue</x:v>
      </x:c>
      <x:c r="C52" s="32" t="str">
        <x:v>INR crore</x:v>
      </x:c>
      <x:c r="D52" s="33" t="n">
        <x:v>229</x:v>
      </x:c>
      <x:c r="E52" s="33" t="n">
        <x:v>207</x:v>
      </x:c>
      <x:c r="F52" s="33" t="n">
        <x:v>189</x:v>
      </x:c>
      <x:c r="G52" s="33" t="n">
        <x:v>300</x:v>
      </x:c>
      <x:c r="H52" s="33" t="n">
        <x:v>277</x:v>
      </x:c>
      <x:c r="I52" s="32" t="str">
        <x:v>S8 | Eternal_Q4FY26.pdf | PDF p14 / filing p13 | Going-out, Hyperpure, cash balance</x:v>
      </x:c>
      <x:c r="J52" s="32" t="str">
        <x:v>Verified visually</x:v>
      </x:c>
      <x:c r="K52" s="32" t="str">
        <x:v>Required</x:v>
      </x:c>
      <x:c r="L52" s="32" t="str">
        <x:v>Official quarterly filing</x:v>
      </x:c>
      <x:c r="M52" s="32" t="str">
        <x:v>Segment table</x:v>
      </x:c>
    </x:row>
    <x:row r="53">
      <x:c r="A53" s="32" t="str">
        <x:v>Going-out</x:v>
      </x:c>
      <x:c r="B53" s="32" t="str">
        <x:v>Revenue YoY growth</x:v>
      </x:c>
      <x:c r="C53" s="32" t="str">
        <x:v>%</x:v>
      </x:c>
      <x:c r="D53" s="34" t="n">
        <x:v>1.462</x:v>
      </x:c>
      <x:c r="E53" s="34" t="n">
        <x:v>1.179</x:v>
      </x:c>
      <x:c r="F53" s="34" t="n">
        <x:v>0.227</x:v>
      </x:c>
      <x:c r="G53" s="34" t="n">
        <x:v>0.158</x:v>
      </x:c>
      <x:c r="H53" s="34" t="n">
        <x:v>0.21</x:v>
      </x:c>
      <x:c r="I53" s="32" t="str">
        <x:v>S8 | Eternal_Q4FY26.pdf | PDF p14 / filing p13 | Going-out, Hyperpure, cash balance</x:v>
      </x:c>
      <x:c r="J53" s="32" t="str">
        <x:v>Verified visually</x:v>
      </x:c>
      <x:c r="K53" s="32" t="str">
        <x:v>Optional</x:v>
      </x:c>
      <x:c r="L53" s="32" t="str">
        <x:v>Official quarterly filing</x:v>
      </x:c>
      <x:c r="M53" s="32" t="str">
        <x:v>Segment table</x:v>
      </x:c>
    </x:row>
    <x:row r="54">
      <x:c r="A54" s="32" t="str">
        <x:v>Going-out</x:v>
      </x:c>
      <x:c r="B54" s="32" t="str">
        <x:v>Adjusted EBITDA</x:v>
      </x:c>
      <x:c r="C54" s="32" t="str">
        <x:v>INR crore</x:v>
      </x:c>
      <x:c r="D54" s="33" t="n">
        <x:v>-47</x:v>
      </x:c>
      <x:c r="E54" s="33" t="n">
        <x:v>-54</x:v>
      </x:c>
      <x:c r="F54" s="33" t="n">
        <x:v>-63</x:v>
      </x:c>
      <x:c r="G54" s="33" t="n">
        <x:v>-121</x:v>
      </x:c>
      <x:c r="H54" s="33" t="n">
        <x:v>-81</x:v>
      </x:c>
      <x:c r="I54" s="32" t="str">
        <x:v>S8 | Eternal_Q4FY26.pdf | PDF p14 / filing p13 | Going-out, Hyperpure, cash balance</x:v>
      </x:c>
      <x:c r="J54" s="32" t="str">
        <x:v>Verified visually</x:v>
      </x:c>
      <x:c r="K54" s="32" t="str">
        <x:v>Required</x:v>
      </x:c>
      <x:c r="L54" s="32" t="str">
        <x:v>Official quarterly filing</x:v>
      </x:c>
      <x:c r="M54" s="32" t="str">
        <x:v>Segment table</x:v>
      </x:c>
    </x:row>
    <x:row r="55">
      <x:c r="A55" s="32" t="str">
        <x:v>Going-out</x:v>
      </x:c>
      <x:c r="B55" s="32" t="str">
        <x:v>Adjusted EBITDA margin</x:v>
      </x:c>
      <x:c r="C55" s="32" t="str">
        <x:v>% of NOV</x:v>
      </x:c>
      <x:c r="D55" s="34" t="n">
        <x:v>-0.025</x:v>
      </x:c>
      <x:c r="E55" s="34" t="n">
        <x:v>-0.027</x:v>
      </x:c>
      <x:c r="F55" s="34" t="n">
        <x:v>-0.031</x:v>
      </x:c>
      <x:c r="G55" s="34" t="n">
        <x:v>-0.047</x:v>
      </x:c>
      <x:c r="H55" s="34" t="n">
        <x:v>-0.03</x:v>
      </x:c>
      <x:c r="I55" s="32" t="str">
        <x:v>S8 | Eternal_Q4FY26.pdf | PDF p14 / filing p13 | Going-out, Hyperpure, cash balance</x:v>
      </x:c>
      <x:c r="J55" s="32" t="str">
        <x:v>Verified visually</x:v>
      </x:c>
      <x:c r="K55" s="32" t="str">
        <x:v>Required</x:v>
      </x:c>
      <x:c r="L55" s="32" t="str">
        <x:v>Official quarterly filing</x:v>
      </x:c>
      <x:c r="M55" s="32" t="str">
        <x:v>Segment table</x:v>
      </x:c>
    </x:row>
    <x:row r="56">
      <x:c r="A56" s="32" t="str">
        <x:v>B2B supplies (Hyperpure)</x:v>
      </x:c>
      <x:c r="B56" s="32" t="str">
        <x:v>Revenue</x:v>
      </x:c>
      <x:c r="C56" s="32" t="str">
        <x:v>INR crore</x:v>
      </x:c>
      <x:c r="D56" s="33" t="n">
        <x:v>1840</x:v>
      </x:c>
      <x:c r="E56" s="33" t="n">
        <x:v>2295</x:v>
      </x:c>
      <x:c r="F56" s="33" t="n">
        <x:v>1023</x:v>
      </x:c>
      <x:c r="G56" s="33" t="n">
        <x:v>1070</x:v>
      </x:c>
      <x:c r="H56" s="33" t="n">
        <x:v>978</x:v>
      </x:c>
      <x:c r="I56" s="32" t="str">
        <x:v>S8 | Eternal_Q4FY26.pdf | PDF p14 / filing p13 | Going-out, Hyperpure, cash balance</x:v>
      </x:c>
      <x:c r="J56" s="32" t="str">
        <x:v>Verified visually</x:v>
      </x:c>
      <x:c r="K56" s="32" t="str">
        <x:v>Required</x:v>
      </x:c>
      <x:c r="L56" s="32" t="str">
        <x:v>Official quarterly filing</x:v>
      </x:c>
      <x:c r="M56" s="32" t="str">
        <x:v>Segment table</x:v>
      </x:c>
    </x:row>
    <x:row r="57">
      <x:c r="A57" s="32" t="str">
        <x:v>B2B supplies (Hyperpure)</x:v>
      </x:c>
      <x:c r="B57" s="32" t="str">
        <x:v>Revenue YoY growth</x:v>
      </x:c>
      <x:c r="C57" s="32" t="str">
        <x:v>%</x:v>
      </x:c>
      <x:c r="D57" s="34" t="n">
        <x:v>0.935</x:v>
      </x:c>
      <x:c r="E57" s="34" t="n">
        <x:v>0.894</x:v>
      </x:c>
      <x:c r="F57" s="34" t="n">
        <x:v>-0.305</x:v>
      </x:c>
      <x:c r="G57" s="34" t="n">
        <x:v>-0.36</x:v>
      </x:c>
      <x:c r="H57" s="34" t="n">
        <x:v>-0.468</x:v>
      </x:c>
      <x:c r="I57" s="32" t="str">
        <x:v>S8 | Eternal_Q4FY26.pdf | PDF p14 / filing p13 | Going-out, Hyperpure, cash balance</x:v>
      </x:c>
      <x:c r="J57" s="32" t="str">
        <x:v>Verified visually</x:v>
      </x:c>
      <x:c r="K57" s="32" t="str">
        <x:v>Optional</x:v>
      </x:c>
      <x:c r="L57" s="32" t="str">
        <x:v>Official quarterly filing</x:v>
      </x:c>
      <x:c r="M57" s="32" t="str">
        <x:v>Segment table</x:v>
      </x:c>
    </x:row>
    <x:row r="58">
      <x:c r="A58" s="32" t="str">
        <x:v>B2B supplies (Hyperpure)</x:v>
      </x:c>
      <x:c r="B58" s="32" t="str">
        <x:v>Adjusted EBITDA</x:v>
      </x:c>
      <x:c r="C58" s="32" t="str">
        <x:v>INR crore</x:v>
      </x:c>
      <x:c r="D58" s="33" t="n">
        <x:v>-22</x:v>
      </x:c>
      <x:c r="E58" s="33" t="n">
        <x:v>-18</x:v>
      </x:c>
      <x:c r="F58" s="33" t="n">
        <x:v>-5</x:v>
      </x:c>
      <x:c r="G58" s="33" t="n">
        <x:v>1</x:v>
      </x:c>
      <x:c r="H58" s="33" t="n">
        <x:v>5</x:v>
      </x:c>
      <x:c r="I58" s="32" t="str">
        <x:v>S8 | Eternal_Q4FY26.pdf | PDF p14 / filing p13 | Going-out, Hyperpure, cash balance</x:v>
      </x:c>
      <x:c r="J58" s="32" t="str">
        <x:v>Verified visually</x:v>
      </x:c>
      <x:c r="K58" s="32" t="str">
        <x:v>Required</x:v>
      </x:c>
      <x:c r="L58" s="32" t="str">
        <x:v>Official quarterly filing</x:v>
      </x:c>
      <x:c r="M58" s="32" t="str">
        <x:v>Segment table</x:v>
      </x:c>
    </x:row>
    <x:row r="59">
      <x:c r="A59" s="32" t="str">
        <x:v>B2B supplies (Hyperpure)</x:v>
      </x:c>
      <x:c r="B59" s="32" t="str">
        <x:v>Adjusted EBITDA margin</x:v>
      </x:c>
      <x:c r="C59" s="32" t="str">
        <x:v>% of Revenue</x:v>
      </x:c>
      <x:c r="D59" s="34" t="n">
        <x:v>-0.012</x:v>
      </x:c>
      <x:c r="E59" s="34" t="n">
        <x:v>-0.008</x:v>
      </x:c>
      <x:c r="F59" s="34" t="n">
        <x:v>-0.005</x:v>
      </x:c>
      <x:c r="G59" s="34" t="n">
        <x:v>0.001</x:v>
      </x:c>
      <x:c r="H59" s="34" t="n">
        <x:v>0.005</x:v>
      </x:c>
      <x:c r="I59" s="32" t="str">
        <x:v>S8 | Eternal_Q4FY26.pdf | PDF p14 / filing p13 | Going-out, Hyperpure, cash balance</x:v>
      </x:c>
      <x:c r="J59" s="32" t="str">
        <x:v>Verified visually</x:v>
      </x:c>
      <x:c r="K59" s="32" t="str">
        <x:v>Required</x:v>
      </x:c>
      <x:c r="L59" s="32" t="str">
        <x:v>Official quarterly filing</x:v>
      </x:c>
      <x:c r="M59" s="32" t="str">
        <x:v>Segment table</x:v>
      </x:c>
    </x:row>
    <x:row r="60">
      <x:c r="A60" s="32" t="str">
        <x:v>Cash bridge</x:v>
      </x:c>
      <x:c r="B60" s="32" t="str">
        <x:v>Adjusted EBITDA</x:v>
      </x:c>
      <x:c r="C60" s="32" t="str">
        <x:v>INR crore</x:v>
      </x:c>
      <x:c r="D60" s="33" t="n">
        <x:v>165</x:v>
      </x:c>
      <x:c r="E60" s="33" t="n">
        <x:v>172</x:v>
      </x:c>
      <x:c r="F60" s="33" t="n">
        <x:v>224</x:v>
      </x:c>
      <x:c r="G60" s="33" t="n">
        <x:v>364</x:v>
      </x:c>
      <x:c r="H60" s="33" t="n">
        <x:v>429</x:v>
      </x:c>
      <x:c r="I60" s="32" t="str">
        <x:v>S8 | Eternal_Q4FY26.pdf | PDF p14 / filing p13 | Going-out, Hyperpure, cash balance</x:v>
      </x:c>
      <x:c r="J60" s="32" t="str">
        <x:v>Verified visually</x:v>
      </x:c>
      <x:c r="K60" s="32" t="str">
        <x:v>Required</x:v>
      </x:c>
      <x:c r="L60" s="32" t="str">
        <x:v>Official quarterly filing</x:v>
      </x:c>
      <x:c r="M60" s="32" t="str">
        <x:v>Cash balance table</x:v>
      </x:c>
    </x:row>
    <x:row r="61">
      <x:c r="A61" s="32" t="str">
        <x:v>Cash bridge</x:v>
      </x:c>
      <x:c r="B61" s="32" t="str">
        <x:v>Treasury income received</x:v>
      </x:c>
      <x:c r="C61" s="32" t="str">
        <x:v>INR crore</x:v>
      </x:c>
      <x:c r="D61" s="33" t="n">
        <x:v>195</x:v>
      </x:c>
      <x:c r="E61" s="33" t="n">
        <x:v>235</x:v>
      </x:c>
      <x:c r="F61" s="33" t="n">
        <x:v>171</x:v>
      </x:c>
      <x:c r="G61" s="33" t="n">
        <x:v>228</x:v>
      </x:c>
      <x:c r="H61" s="33" t="n">
        <x:v>319</x:v>
      </x:c>
      <x:c r="I61" s="32" t="str">
        <x:v>S8 | Eternal_Q4FY26.pdf | PDF p14 / filing p13 | Going-out, Hyperpure, cash balance</x:v>
      </x:c>
      <x:c r="J61" s="32" t="str">
        <x:v>Verified visually</x:v>
      </x:c>
      <x:c r="K61" s="32" t="str">
        <x:v>Required</x:v>
      </x:c>
      <x:c r="L61" s="32" t="str">
        <x:v>Official quarterly filing</x:v>
      </x:c>
      <x:c r="M61" s="32" t="str">
        <x:v>Cash balance table</x:v>
      </x:c>
    </x:row>
    <x:row r="62">
      <x:c r="A62" s="32" t="str">
        <x:v>Cash bridge</x:v>
      </x:c>
      <x:c r="B62" s="32" t="str">
        <x:v>Capital expenditure incurred</x:v>
      </x:c>
      <x:c r="C62" s="32" t="str">
        <x:v>INR crore</x:v>
      </x:c>
      <x:c r="D62" s="33" t="n">
        <x:v>-317</x:v>
      </x:c>
      <x:c r="E62" s="33" t="n">
        <x:v>-370</x:v>
      </x:c>
      <x:c r="F62" s="33" t="n">
        <x:v>-417</x:v>
      </x:c>
      <x:c r="G62" s="33" t="n">
        <x:v>-465</x:v>
      </x:c>
      <x:c r="H62" s="33" t="n">
        <x:v>-494</x:v>
      </x:c>
      <x:c r="I62" s="32" t="str">
        <x:v>S8 | Eternal_Q4FY26.pdf | PDF p14 / filing p13 | Going-out, Hyperpure, cash balance</x:v>
      </x:c>
      <x:c r="J62" s="32" t="str">
        <x:v>Verified visually</x:v>
      </x:c>
      <x:c r="K62" s="32" t="str">
        <x:v>Required</x:v>
      </x:c>
      <x:c r="L62" s="32" t="str">
        <x:v>Official quarterly filing</x:v>
      </x:c>
      <x:c r="M62" s="32" t="str">
        <x:v>Cash balance table</x:v>
      </x:c>
    </x:row>
    <x:row r="63">
      <x:c r="A63" s="32" t="str">
        <x:v>Cash bridge</x:v>
      </x:c>
      <x:c r="B63" s="32" t="str">
        <x:v>Other items</x:v>
      </x:c>
      <x:c r="C63" s="32" t="str">
        <x:v>INR crore</x:v>
      </x:c>
      <x:c r="D63" s="33" t="n">
        <x:v>148</x:v>
      </x:c>
      <x:c r="E63" s="33" t="n">
        <x:v>107</x:v>
      </x:c>
      <x:c r="F63" s="33" t="n">
        <x:v>-39</x:v>
      </x:c>
      <x:c r="G63" s="33" t="n">
        <x:v>69</x:v>
      </x:c>
      <x:c r="H63" s="33" t="n">
        <x:v>-157</x:v>
      </x:c>
      <x:c r="I63" s="32" t="str">
        <x:v>S8 | Eternal_Q4FY26.pdf | PDF p14 / filing p13 | Going-out, Hyperpure, cash balance</x:v>
      </x:c>
      <x:c r="J63" s="32" t="str">
        <x:v>Verified visually</x:v>
      </x:c>
      <x:c r="K63" s="32" t="str">
        <x:v>Required</x:v>
      </x:c>
      <x:c r="L63" s="32" t="str">
        <x:v>Official quarterly filing</x:v>
      </x:c>
      <x:c r="M63" s="32" t="str">
        <x:v>Cash balance table</x:v>
      </x:c>
    </x:row>
    <x:row r="64">
      <x:c r="A64" s="32" t="str">
        <x:v>Cash bridge</x:v>
      </x:c>
      <x:c r="B64" s="32" t="str">
        <x:v>Cash burn / surplus</x:v>
      </x:c>
      <x:c r="C64" s="32" t="str">
        <x:v>INR crore</x:v>
      </x:c>
      <x:c r="D64" s="33" t="n">
        <x:v>191</x:v>
      </x:c>
      <x:c r="E64" s="33" t="n">
        <x:v>144</x:v>
      </x:c>
      <x:c r="F64" s="33" t="n">
        <x:v>-61</x:v>
      </x:c>
      <x:c r="G64" s="33" t="n">
        <x:v>196</x:v>
      </x:c>
      <x:c r="H64" s="33" t="n">
        <x:v>97</x:v>
      </x:c>
      <x:c r="I64" s="32" t="str">
        <x:v>S8 | Eternal_Q4FY26.pdf | PDF p14 / filing p13 | Going-out, Hyperpure, cash balance</x:v>
      </x:c>
      <x:c r="J64" s="32" t="str">
        <x:v>Verified visually</x:v>
      </x:c>
      <x:c r="K64" s="32" t="str">
        <x:v>Required</x:v>
      </x:c>
      <x:c r="L64" s="32" t="str">
        <x:v>Official quarterly filing</x:v>
      </x:c>
      <x:c r="M64" s="32" t="str">
        <x:v>Cash balance table</x:v>
      </x:c>
    </x:row>
    <x:row r="65">
      <x:c r="A65" s="32" t="str">
        <x:v>Cash bridge</x:v>
      </x:c>
      <x:c r="B65" s="32" t="str">
        <x:v>Increase / decrease in net working capital</x:v>
      </x:c>
      <x:c r="C65" s="32" t="str">
        <x:v>INR crore</x:v>
      </x:c>
      <x:c r="D65" s="33" t="n">
        <x:v>-602</x:v>
      </x:c>
      <x:c r="E65" s="33" t="n">
        <x:v>-111</x:v>
      </x:c>
      <x:c r="F65" s="33" t="n">
        <x:v>-482</x:v>
      </x:c>
      <x:c r="G65" s="33" t="n">
        <x:v>-690</x:v>
      </x:c>
      <x:c r="H65" s="33" t="n">
        <x:v>55</x:v>
      </x:c>
      <x:c r="I65" s="32" t="str">
        <x:v>S8 | Eternal_Q4FY26.pdf | PDF p14 / filing p13 | Going-out, Hyperpure, cash balance</x:v>
      </x:c>
      <x:c r="J65" s="32" t="str">
        <x:v>Verified visually</x:v>
      </x:c>
      <x:c r="K65" s="32" t="str">
        <x:v>Required</x:v>
      </x:c>
      <x:c r="L65" s="32" t="str">
        <x:v>Official quarterly filing</x:v>
      </x:c>
      <x:c r="M65" s="32" t="str">
        <x:v>Cash balance table</x:v>
      </x:c>
    </x:row>
    <x:row r="66">
      <x:c r="A66" s="32" t="str">
        <x:v>Cash bridge</x:v>
      </x:c>
      <x:c r="B66" s="32" t="str">
        <x:v>Change in cash</x:v>
      </x:c>
      <x:c r="C66" s="32" t="str">
        <x:v>INR crore</x:v>
      </x:c>
      <x:c r="D66" s="33" t="n">
        <x:v>-411</x:v>
      </x:c>
      <x:c r="E66" s="33" t="n">
        <x:v>33</x:v>
      </x:c>
      <x:c r="F66" s="33" t="n">
        <x:v>-543</x:v>
      </x:c>
      <x:c r="G66" s="33" t="n">
        <x:v>-494</x:v>
      </x:c>
      <x:c r="H66" s="33" t="n">
        <x:v>152</x:v>
      </x:c>
      <x:c r="I66" s="32" t="str">
        <x:v>S8 | Eternal_Q4FY26.pdf | PDF p14 / filing p13 | Going-out, Hyperpure, cash balance</x:v>
      </x:c>
      <x:c r="J66" s="32" t="str">
        <x:v>Verified visually</x:v>
      </x:c>
      <x:c r="K66" s="32" t="str">
        <x:v>Required</x:v>
      </x:c>
      <x:c r="L66" s="32" t="str">
        <x:v>Official quarterly filing</x:v>
      </x:c>
      <x:c r="M66" s="32" t="str">
        <x:v>Cash balance table</x:v>
      </x:c>
    </x:row>
    <x:row r="67">
      <x:c r="A67" s="32" t="str">
        <x:v>Cash bridge</x:v>
      </x:c>
      <x:c r="B67" s="32" t="str">
        <x:v>Opening cash balance</x:v>
      </x:c>
      <x:c r="C67" s="32" t="str">
        <x:v>INR crore</x:v>
      </x:c>
      <x:c r="D67" s="33" t="n">
        <x:v>19235</x:v>
      </x:c>
      <x:c r="E67" s="33" t="n">
        <x:v>18824</x:v>
      </x:c>
      <x:c r="F67" s="33" t="n">
        <x:v>18857</x:v>
      </x:c>
      <x:c r="G67" s="33" t="n">
        <x:v>18314</x:v>
      </x:c>
      <x:c r="H67" s="33" t="n">
        <x:v>17820</x:v>
      </x:c>
      <x:c r="I67" s="32" t="str">
        <x:v>S8 | Eternal_Q4FY26.pdf | PDF p14 / filing p13 | Going-out, Hyperpure, cash balance</x:v>
      </x:c>
      <x:c r="J67" s="32" t="str">
        <x:v>Verified visually</x:v>
      </x:c>
      <x:c r="K67" s="32" t="str">
        <x:v>Required</x:v>
      </x:c>
      <x:c r="L67" s="32" t="str">
        <x:v>Official quarterly filing</x:v>
      </x:c>
      <x:c r="M67" s="32" t="str">
        <x:v>Cash balance table</x:v>
      </x:c>
    </x:row>
    <x:row r="68">
      <x:c r="A68" s="32" t="str">
        <x:v>Cash bridge</x:v>
      </x:c>
      <x:c r="B68" s="32" t="str">
        <x:v>Closing cash balance</x:v>
      </x:c>
      <x:c r="C68" s="32" t="str">
        <x:v>INR crore</x:v>
      </x:c>
      <x:c r="D68" s="33" t="n">
        <x:v>18824</x:v>
      </x:c>
      <x:c r="E68" s="33" t="n">
        <x:v>18857</x:v>
      </x:c>
      <x:c r="F68" s="33" t="n">
        <x:v>18314</x:v>
      </x:c>
      <x:c r="G68" s="33" t="n">
        <x:v>17820</x:v>
      </x:c>
      <x:c r="H68" s="33" t="n">
        <x:v>17972</x:v>
      </x:c>
      <x:c r="I68" s="32" t="str">
        <x:v>S8 | Eternal_Q4FY26.pdf | PDF p14 / filing p13 | Going-out, Hyperpure, cash balance</x:v>
      </x:c>
      <x:c r="J68" s="32" t="str">
        <x:v>Verified visually</x:v>
      </x:c>
      <x:c r="K68" s="32" t="str">
        <x:v>Required</x:v>
      </x:c>
      <x:c r="L68" s="32" t="str">
        <x:v>Official quarterly filing</x:v>
      </x:c>
      <x:c r="M68" s="32" t="str">
        <x:v>Cash balance table</x:v>
      </x:c>
    </x:row>
    <x:row r="69">
      <x:c r="A69" s="32" t="str">
        <x:v>Reconciliation</x:v>
      </x:c>
      <x:c r="B69" s="32" t="str">
        <x:v>Revenue from operations</x:v>
      </x:c>
      <x:c r="C69" s="32" t="str">
        <x:v>INR crore</x:v>
      </x:c>
      <x:c r="D69" s="33" t="n">
        <x:v>5833</x:v>
      </x:c>
      <x:c r="E69" s="33" t="n">
        <x:v>7167</x:v>
      </x:c>
      <x:c r="F69" s="33" t="n">
        <x:v>13590</x:v>
      </x:c>
      <x:c r="G69" s="33" t="n">
        <x:v>16315</x:v>
      </x:c>
      <x:c r="H69" s="33" t="n">
        <x:v>17292</x:v>
      </x:c>
      <x:c r="I69" s="32" t="str">
        <x:v>S8 | Eternal_Q4FY26.pdf | PDF p15 / filing p14 | Annexure B - Adjusted Revenue and Adjusted EBITDA reconciliation</x:v>
      </x:c>
      <x:c r="J69" s="32" t="str">
        <x:v>Verified visually</x:v>
      </x:c>
      <x:c r="K69" s="32" t="str">
        <x:v>Required</x:v>
      </x:c>
      <x:c r="L69" s="32" t="str">
        <x:v>Official quarterly filing</x:v>
      </x:c>
      <x:c r="M69" s="32" t="str">
        <x:v>Adjusted Revenue reconciliation</x:v>
      </x:c>
    </x:row>
    <x:row r="70">
      <x:c r="A70" s="32" t="str">
        <x:v>Reconciliation</x:v>
      </x:c>
      <x:c r="B70" s="32" t="str">
        <x:v>Actual customer delivery charges paid in food delivery</x:v>
      </x:c>
      <x:c r="C70" s="32" t="str">
        <x:v>INR crore</x:v>
      </x:c>
      <x:c r="D70" s="33" t="n">
        <x:v>246</x:v>
      </x:c>
      <x:c r="E70" s="33" t="n">
        <x:v>273</x:v>
      </x:c>
      <x:c r="F70" s="33" t="n">
        <x:v>225</x:v>
      </x:c>
      <x:c r="G70" s="33" t="n">
        <x:v>189</x:v>
      </x:c>
      <x:c r="H70" s="33" t="n">
        <x:v>188</x:v>
      </x:c>
      <x:c r="I70" s="32" t="str">
        <x:v>S8 | Eternal_Q4FY26.pdf | PDF p15 / filing p14 | Annexure B - Adjusted Revenue and Adjusted EBITDA reconciliation</x:v>
      </x:c>
      <x:c r="J70" s="32" t="str">
        <x:v>Verified visually</x:v>
      </x:c>
      <x:c r="K70" s="32" t="str">
        <x:v>Required</x:v>
      </x:c>
      <x:c r="L70" s="32" t="str">
        <x:v>Official quarterly filing</x:v>
      </x:c>
      <x:c r="M70" s="32" t="str">
        <x:v>Adjusted Revenue reconciliation</x:v>
      </x:c>
    </x:row>
    <x:row r="71">
      <x:c r="A71" s="32" t="str">
        <x:v>Reconciliation</x:v>
      </x:c>
      <x:c r="B71" s="32" t="str">
        <x:v>Gross platform fee and other charges paid on food delivery orders</x:v>
      </x:c>
      <x:c r="C71" s="32" t="str">
        <x:v>INR crore</x:v>
      </x:c>
      <x:c r="D71" s="33" t="n">
        <x:v>186</x:v>
      </x:c>
      <x:c r="E71" s="33" t="n">
        <x:v>213</x:v>
      </x:c>
      <x:c r="F71" s="33" t="n">
        <x:v>254</x:v>
      </x:c>
      <x:c r="G71" s="33" t="n">
        <x:v>304</x:v>
      </x:c>
      <x:c r="H71" s="33" t="n">
        <x:v>315</x:v>
      </x:c>
      <x:c r="I71" s="32" t="str">
        <x:v>S8 | Eternal_Q4FY26.pdf | PDF p15 / filing p14 | Annexure B - Adjusted Revenue and Adjusted EBITDA reconciliation</x:v>
      </x:c>
      <x:c r="J71" s="32" t="str">
        <x:v>Verified visually</x:v>
      </x:c>
      <x:c r="K71" s="32" t="str">
        <x:v>Required</x:v>
      </x:c>
      <x:c r="L71" s="32" t="str">
        <x:v>Official quarterly filing</x:v>
      </x:c>
      <x:c r="M71" s="32" t="str">
        <x:v>Adjusted Revenue reconciliation</x:v>
      </x:c>
    </x:row>
    <x:row r="72">
      <x:c r="A72" s="32" t="str">
        <x:v>Reconciliation</x:v>
      </x:c>
      <x:c r="B72" s="32" t="str">
        <x:v>Platform fee and other charges already included in revenue</x:v>
      </x:c>
      <x:c r="C72" s="32" t="str">
        <x:v>INR crore</x:v>
      </x:c>
      <x:c r="D72" s="33" t="n">
        <x:v>77</x:v>
      </x:c>
      <x:c r="E72" s="33" t="n">
        <x:v>89</x:v>
      </x:c>
      <x:c r="F72" s="33" t="n">
        <x:v>101</x:v>
      </x:c>
      <x:c r="G72" s="33" t="n">
        <x:v>116</x:v>
      </x:c>
      <x:c r="H72" s="33" t="n">
        <x:v>115</x:v>
      </x:c>
      <x:c r="I72" s="32" t="str">
        <x:v>S8 | Eternal_Q4FY26.pdf | PDF p15 / filing p14 | Annexure B - Adjusted Revenue and Adjusted EBITDA reconciliation</x:v>
      </x:c>
      <x:c r="J72" s="32" t="str">
        <x:v>Verified visually</x:v>
      </x:c>
      <x:c r="K72" s="32" t="str">
        <x:v>Required</x:v>
      </x:c>
      <x:c r="L72" s="32" t="str">
        <x:v>Official quarterly filing</x:v>
      </x:c>
      <x:c r="M72" s="32" t="str">
        <x:v>Adjusted Revenue reconciliation</x:v>
      </x:c>
    </x:row>
    <x:row r="73">
      <x:c r="A73" s="32" t="str">
        <x:v>Reconciliation</x:v>
      </x:c>
      <x:c r="B73" s="32" t="str">
        <x:v>Adjusted revenue</x:v>
      </x:c>
      <x:c r="C73" s="32" t="str">
        <x:v>INR crore</x:v>
      </x:c>
      <x:c r="D73" s="33" t="n">
        <x:v>6188</x:v>
      </x:c>
      <x:c r="E73" s="33" t="n">
        <x:v>7563</x:v>
      </x:c>
      <x:c r="F73" s="33" t="n">
        <x:v>13968</x:v>
      </x:c>
      <x:c r="G73" s="33" t="n">
        <x:v>16692</x:v>
      </x:c>
      <x:c r="H73" s="33" t="n">
        <x:v>17680</x:v>
      </x:c>
      <x:c r="I73" s="32" t="str">
        <x:v>S8 | Eternal_Q4FY26.pdf | PDF p15 / filing p14 | Annexure B - Adjusted Revenue and Adjusted EBITDA reconciliation</x:v>
      </x:c>
      <x:c r="J73" s="32" t="str">
        <x:v>Verified visually</x:v>
      </x:c>
      <x:c r="K73" s="32" t="str">
        <x:v>Required</x:v>
      </x:c>
      <x:c r="L73" s="32" t="str">
        <x:v>Official quarterly filing</x:v>
      </x:c>
      <x:c r="M73" s="32" t="str">
        <x:v>Adjusted Revenue reconciliation</x:v>
      </x:c>
    </x:row>
    <x:row r="74">
      <x:c r="A74" s="32" t="str">
        <x:v>Reconciliation</x:v>
      </x:c>
      <x:c r="B74" s="32" t="str">
        <x:v>Adjusted EBITDA</x:v>
      </x:c>
      <x:c r="C74" s="32" t="str">
        <x:v>INR crore</x:v>
      </x:c>
      <x:c r="D74" s="33" t="n">
        <x:v>165</x:v>
      </x:c>
      <x:c r="E74" s="33" t="n">
        <x:v>172</x:v>
      </x:c>
      <x:c r="F74" s="33" t="n">
        <x:v>224</x:v>
      </x:c>
      <x:c r="G74" s="33" t="n">
        <x:v>364</x:v>
      </x:c>
      <x:c r="H74" s="33" t="n">
        <x:v>429</x:v>
      </x:c>
      <x:c r="I74" s="32" t="str">
        <x:v>S8 | Eternal_Q4FY26.pdf | PDF p15 / filing p14 | Annexure B - Adjusted Revenue and Adjusted EBITDA reconciliation</x:v>
      </x:c>
      <x:c r="J74" s="32" t="str">
        <x:v>Verified visually</x:v>
      </x:c>
      <x:c r="K74" s="32" t="str">
        <x:v>Required</x:v>
      </x:c>
      <x:c r="L74" s="32" t="str">
        <x:v>Official quarterly filing</x:v>
      </x:c>
      <x:c r="M74" s="32" t="str">
        <x:v>Adjusted EBITDA reconciliation</x:v>
      </x:c>
    </x:row>
    <x:row r="75">
      <x:c r="A75" s="32" t="str">
        <x:v>Reconciliation</x:v>
      </x:c>
      <x:c r="B75" s="32" t="str">
        <x:v>Other income</x:v>
      </x:c>
      <x:c r="C75" s="32" t="str">
        <x:v>INR crore</x:v>
      </x:c>
      <x:c r="D75" s="33" t="n">
        <x:v>368</x:v>
      </x:c>
      <x:c r="E75" s="33" t="n">
        <x:v>354</x:v>
      </x:c>
      <x:c r="F75" s="33" t="n">
        <x:v>352</x:v>
      </x:c>
      <x:c r="G75" s="33" t="n">
        <x:v>348</x:v>
      </x:c>
      <x:c r="H75" s="33" t="n">
        <x:v>342</x:v>
      </x:c>
      <x:c r="I75" s="32" t="str">
        <x:v>S8 | Eternal_Q4FY26.pdf | PDF p15 / filing p14 | Annexure B - Adjusted Revenue and Adjusted EBITDA reconciliation</x:v>
      </x:c>
      <x:c r="J75" s="32" t="str">
        <x:v>Verified visually</x:v>
      </x:c>
      <x:c r="K75" s="32" t="str">
        <x:v>Required</x:v>
      </x:c>
      <x:c r="L75" s="32" t="str">
        <x:v>Official quarterly filing</x:v>
      </x:c>
      <x:c r="M75" s="32" t="str">
        <x:v>Adjusted EBITDA reconciliation</x:v>
      </x:c>
    </x:row>
    <x:row r="76">
      <x:c r="A76" s="32" t="str">
        <x:v>Reconciliation</x:v>
      </x:c>
      <x:c r="B76" s="32" t="str">
        <x:v>Rental paid pertaining to Ind AS 116 leases</x:v>
      </x:c>
      <x:c r="C76" s="32" t="str">
        <x:v>INR crore</x:v>
      </x:c>
      <x:c r="D76" s="33" t="n">
        <x:v>124</x:v>
      </x:c>
      <x:c r="E76" s="33" t="n">
        <x:v>153</x:v>
      </x:c>
      <x:c r="F76" s="33" t="n">
        <x:v>189</x:v>
      </x:c>
      <x:c r="G76" s="33" t="n">
        <x:v>231</x:v>
      </x:c>
      <x:c r="H76" s="33" t="n">
        <x:v>265</x:v>
      </x:c>
      <x:c r="I76" s="32" t="str">
        <x:v>S8 | Eternal_Q4FY26.pdf | PDF p15 / filing p14 | Annexure B - Adjusted Revenue and Adjusted EBITDA reconciliation</x:v>
      </x:c>
      <x:c r="J76" s="32" t="str">
        <x:v>Verified visually</x:v>
      </x:c>
      <x:c r="K76" s="32" t="str">
        <x:v>Required</x:v>
      </x:c>
      <x:c r="L76" s="32" t="str">
        <x:v>Official quarterly filing</x:v>
      </x:c>
      <x:c r="M76" s="32" t="str">
        <x:v>Adjusted EBITDA reconciliation</x:v>
      </x:c>
    </x:row>
    <x:row r="77">
      <x:c r="A77" s="32" t="str">
        <x:v>Reconciliation</x:v>
      </x:c>
      <x:c r="B77" s="32" t="str">
        <x:v>Depreciation and amortization expense</x:v>
      </x:c>
      <x:c r="C77" s="32" t="str">
        <x:v>INR crore</x:v>
      </x:c>
      <x:c r="D77" s="33" t="n">
        <x:v>287</x:v>
      </x:c>
      <x:c r="E77" s="33" t="n">
        <x:v>314</x:v>
      </x:c>
      <x:c r="F77" s="33" t="n">
        <x:v>376</x:v>
      </x:c>
      <x:c r="G77" s="33" t="n">
        <x:v>439</x:v>
      </x:c>
      <x:c r="H77" s="33" t="n">
        <x:v>468</x:v>
      </x:c>
      <x:c r="I77" s="32" t="str">
        <x:v>S8 | Eternal_Q4FY26.pdf | PDF p15 / filing p14 | Annexure B - Adjusted Revenue and Adjusted EBITDA reconciliation</x:v>
      </x:c>
      <x:c r="J77" s="32" t="str">
        <x:v>Verified visually</x:v>
      </x:c>
      <x:c r="K77" s="32" t="str">
        <x:v>Required</x:v>
      </x:c>
      <x:c r="L77" s="32" t="str">
        <x:v>Official quarterly filing</x:v>
      </x:c>
      <x:c r="M77" s="32" t="str">
        <x:v>Adjusted EBITDA reconciliation</x:v>
      </x:c>
    </x:row>
    <x:row r="78">
      <x:c r="A78" s="32" t="str">
        <x:v>Reconciliation</x:v>
      </x:c>
      <x:c r="B78" s="32" t="str">
        <x:v>Finance cost</x:v>
      </x:c>
      <x:c r="C78" s="32" t="str">
        <x:v>INR crore</x:v>
      </x:c>
      <x:c r="D78" s="33" t="n">
        <x:v>56</x:v>
      </x:c>
      <x:c r="E78" s="33" t="n">
        <x:v>67</x:v>
      </x:c>
      <x:c r="F78" s="33" t="n">
        <x:v>86</x:v>
      </x:c>
      <x:c r="G78" s="33" t="n">
        <x:v>107</x:v>
      </x:c>
      <x:c r="H78" s="33" t="n">
        <x:v>132</x:v>
      </x:c>
      <x:c r="I78" s="32" t="str">
        <x:v>S8 | Eternal_Q4FY26.pdf | PDF p15 / filing p14 | Annexure B - Adjusted Revenue and Adjusted EBITDA reconciliation</x:v>
      </x:c>
      <x:c r="J78" s="32" t="str">
        <x:v>Verified visually</x:v>
      </x:c>
      <x:c r="K78" s="32" t="str">
        <x:v>Required</x:v>
      </x:c>
      <x:c r="L78" s="32" t="str">
        <x:v>Official quarterly filing</x:v>
      </x:c>
      <x:c r="M78" s="32" t="str">
        <x:v>Adjusted EBITDA reconciliation</x:v>
      </x:c>
    </x:row>
    <x:row r="79">
      <x:c r="A79" s="32" t="str">
        <x:v>Reconciliation</x:v>
      </x:c>
      <x:c r="B79" s="32" t="str">
        <x:v>ESOP expense</x:v>
      </x:c>
      <x:c r="C79" s="32" t="str">
        <x:v>INR crore</x:v>
      </x:c>
      <x:c r="D79" s="33" t="n">
        <x:v>217</x:v>
      </x:c>
      <x:c r="E79" s="33" t="n">
        <x:v>210</x:v>
      </x:c>
      <x:c r="F79" s="33" t="n">
        <x:v>174</x:v>
      </x:c>
      <x:c r="G79" s="33" t="n">
        <x:v>227</x:v>
      </x:c>
      <x:c r="H79" s="33" t="n">
        <x:v>208</x:v>
      </x:c>
      <x:c r="I79" s="32" t="str">
        <x:v>S8 | Eternal_Q4FY26.pdf | PDF p15 / filing p14 | Annexure B - Adjusted Revenue and Adjusted EBITDA reconciliation</x:v>
      </x:c>
      <x:c r="J79" s="32" t="str">
        <x:v>Verified visually</x:v>
      </x:c>
      <x:c r="K79" s="32" t="str">
        <x:v>Required</x:v>
      </x:c>
      <x:c r="L79" s="32" t="str">
        <x:v>Official quarterly filing</x:v>
      </x:c>
      <x:c r="M79" s="32" t="str">
        <x:v>Adjusted EBITDA reconciliation</x:v>
      </x:c>
    </x:row>
    <x:row r="80">
      <x:c r="A80" s="32" t="str">
        <x:v>Reconciliation</x:v>
      </x:c>
      <x:c r="B80" s="32" t="str">
        <x:v>Exceptional items</x:v>
      </x:c>
      <x:c r="C80" s="32" t="str">
        <x:v>INR crore</x:v>
      </x:c>
      <x:c r="D80" s="33" t="n">
        <x:v>0</x:v>
      </x:c>
      <x:c r="E80" s="33" t="n">
        <x:v>0</x:v>
      </x:c>
      <x:c r="F80" s="33" t="n">
        <x:v>0</x:v>
      </x:c>
      <x:c r="G80" s="33" t="n">
        <x:v>0</x:v>
      </x:c>
      <x:c r="H80" s="33" t="n">
        <x:v>0</x:v>
      </x:c>
      <x:c r="I80" s="32" t="str">
        <x:v>S8 | Eternal_Q4FY26.pdf | PDF p15 / filing p14 | Annexure B - Adjusted Revenue and Adjusted EBITDA reconciliation</x:v>
      </x:c>
      <x:c r="J80" s="32" t="str">
        <x:v>Verified visually</x:v>
      </x:c>
      <x:c r="K80" s="32" t="str">
        <x:v>Required</x:v>
      </x:c>
      <x:c r="L80" s="32" t="str">
        <x:v>Official quarterly filing</x:v>
      </x:c>
      <x:c r="M80" s="32" t="str">
        <x:v>Adjusted EBITDA reconciliation</x:v>
      </x:c>
    </x:row>
    <x:row r="81">
      <x:c r="A81" s="32" t="str">
        <x:v>Reconciliation</x:v>
      </x:c>
      <x:c r="B81" s="32" t="str">
        <x:v>Tax expense</x:v>
      </x:c>
      <x:c r="C81" s="32" t="str">
        <x:v>INR crore</x:v>
      </x:c>
      <x:c r="D81" s="33" t="n">
        <x:v>58</x:v>
      </x:c>
      <x:c r="E81" s="33" t="n">
        <x:v>63</x:v>
      </x:c>
      <x:c r="F81" s="33" t="n">
        <x:v>64</x:v>
      </x:c>
      <x:c r="G81" s="33" t="n">
        <x:v>68</x:v>
      </x:c>
      <x:c r="H81" s="33" t="n">
        <x:v>54</x:v>
      </x:c>
      <x:c r="I81" s="32" t="str">
        <x:v>S8 | Eternal_Q4FY26.pdf | PDF p15 / filing p14 | Annexure B - Adjusted Revenue and Adjusted EBITDA reconciliation</x:v>
      </x:c>
      <x:c r="J81" s="32" t="str">
        <x:v>Verified visually</x:v>
      </x:c>
      <x:c r="K81" s="32" t="str">
        <x:v>Required</x:v>
      </x:c>
      <x:c r="L81" s="32" t="str">
        <x:v>Official quarterly filing</x:v>
      </x:c>
      <x:c r="M81" s="32" t="str">
        <x:v>Adjusted EBITDA reconciliation</x:v>
      </x:c>
    </x:row>
    <x:row r="82">
      <x:c r="A82" s="35" t="str">
        <x:v>Reconciliation</x:v>
      </x:c>
      <x:c r="B82" s="35" t="str">
        <x:v>Profit / (loss) for the period</x:v>
      </x:c>
      <x:c r="C82" s="35" t="str">
        <x:v>INR crore</x:v>
      </x:c>
      <x:c r="D82" s="36" t="n">
        <x:v>39</x:v>
      </x:c>
      <x:c r="E82" s="36" t="n">
        <x:v>25</x:v>
      </x:c>
      <x:c r="F82" s="36" t="n">
        <x:v>65</x:v>
      </x:c>
      <x:c r="G82" s="36" t="n">
        <x:v>102</x:v>
      </x:c>
      <x:c r="H82" s="36" t="n">
        <x:v>174</x:v>
      </x:c>
      <x:c r="I82" s="35" t="str">
        <x:v>S8 | Eternal_Q4FY26.pdf | PDF p15 / filing p14 | Annexure B - Adjusted Revenue and Adjusted EBITDA reconciliation</x:v>
      </x:c>
      <x:c r="J82" s="35" t="str">
        <x:v>Verified visually</x:v>
      </x:c>
      <x:c r="K82" s="35" t="str">
        <x:v>Required</x:v>
      </x:c>
      <x:c r="L82" s="35" t="str">
        <x:v>Official quarterly filing</x:v>
      </x:c>
      <x:c r="M82" s="35" t="str">
        <x:v>Adjusted EBITDA reconciliation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958819fdf474e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62" hidden="0" customWidth="1"/>
    <x:col min="10" max="10" width="20" hidden="0" customWidth="1"/>
    <x:col min="11" max="11" width="13" hidden="0" customWidth="1"/>
    <x:col min="12" max="12" width="24" hidden="0" customWidth="1"/>
    <x:col min="13" max="13" width="32" hidden="0" customWidth="1"/>
  </x:cols>
  <x:sheetData>
    <x:row r="1">
      <x:c r="A1" s="3" t="str">
        <x:v>Segment KPI View</x:v>
      </x:c>
    </x:row>
    <x:row r="2">
      <x:c r="A2" s="6" t="str">
        <x:v>Selected operating and profitability metrics by segment, copied from the master extraction rows.</x:v>
      </x:c>
    </x:row>
    <x:row r="4">
      <x:c r="A4" s="22" t="str">
        <x:v>Category</x:v>
      </x:c>
      <x:c r="B4" s="22" t="str">
        <x:v>Metric</x:v>
      </x:c>
      <x:c r="C4" s="22" t="str">
        <x:v>Units</x:v>
      </x:c>
      <x:c r="D4" s="22" t="str">
        <x:v>Q4FY25</x:v>
      </x:c>
      <x:c r="E4" s="22" t="str">
        <x:v>Q1FY26</x:v>
      </x:c>
      <x:c r="F4" s="22" t="str">
        <x:v>Q2FY26</x:v>
      </x:c>
      <x:c r="G4" s="22" t="str">
        <x:v>Q3FY26</x:v>
      </x:c>
      <x:c r="H4" s="22" t="str">
        <x:v>Q4FY26</x:v>
      </x:c>
      <x:c r="I4" s="22" t="str">
        <x:v>Source Reference</x:v>
      </x:c>
      <x:c r="J4" s="22" t="str">
        <x:v>Verification Status</x:v>
      </x:c>
      <x:c r="K4" s="22" t="str">
        <x:v>Priority</x:v>
      </x:c>
      <x:c r="L4" s="22" t="str">
        <x:v>Confidence</x:v>
      </x:c>
      <x:c r="M4" s="22" t="str">
        <x:v>Notes</x:v>
      </x:c>
    </x:row>
    <x:row r="5">
      <x:c r="A5" s="30" t="str">
        <x:v>Food delivery</x:v>
      </x:c>
      <x:c r="B5" s="30" t="str">
        <x:v>NOV</x:v>
      </x:c>
      <x:c r="C5" s="30" t="str">
        <x:v>INR crore</x:v>
      </x:c>
      <x:c r="D5" s="31" t="n">
        <x:v>8210</x:v>
      </x:c>
      <x:c r="E5" s="31" t="n">
        <x:v>8967</x:v>
      </x:c>
      <x:c r="F5" s="31" t="n">
        <x:v>9423</x:v>
      </x:c>
      <x:c r="G5" s="31" t="n">
        <x:v>9846</x:v>
      </x:c>
      <x:c r="H5" s="31" t="n">
        <x:v>9757</x:v>
      </x:c>
      <x:c r="I5" s="30" t="str">
        <x:v>S8 | Eternal_Q4FY26.pdf | PDF p13 / filing p12 | Food delivery and quick commerce metrics</x:v>
      </x:c>
      <x:c r="J5" s="30" t="str">
        <x:v>Verified visually</x:v>
      </x:c>
      <x:c r="K5" s="30" t="str">
        <x:v>Required</x:v>
      </x:c>
      <x:c r="L5" s="30" t="str">
        <x:v>Official quarterly filing</x:v>
      </x:c>
      <x:c r="M5" s="30" t="str">
        <x:v>Segment table</x:v>
      </x:c>
    </x:row>
    <x:row r="6">
      <x:c r="A6" s="32" t="str">
        <x:v>Food delivery</x:v>
      </x:c>
      <x:c r="B6" s="32" t="str">
        <x:v>NOV YoY growth</x:v>
      </x:c>
      <x:c r="C6" s="32" t="str">
        <x:v>%</x:v>
      </x:c>
      <x:c r="D6" s="34" t="n">
        <x:v>0.142</x:v>
      </x:c>
      <x:c r="E6" s="34" t="n">
        <x:v>0.131</x:v>
      </x:c>
      <x:c r="F6" s="34" t="n">
        <x:v>0.138</x:v>
      </x:c>
      <x:c r="G6" s="34" t="n">
        <x:v>0.166</x:v>
      </x:c>
      <x:c r="H6" s="34" t="n">
        <x:v>0.188</x:v>
      </x:c>
      <x:c r="I6" s="32" t="str">
        <x:v>S8 | Eternal_Q4FY26.pdf | PDF p13 / filing p12 | Food delivery and quick commerce metrics</x:v>
      </x:c>
      <x:c r="J6" s="32" t="str">
        <x:v>Verified visually</x:v>
      </x:c>
      <x:c r="K6" s="32" t="str">
        <x:v>Optional</x:v>
      </x:c>
      <x:c r="L6" s="32" t="str">
        <x:v>Official quarterly filing</x:v>
      </x:c>
      <x:c r="M6" s="32" t="str">
        <x:v>Segment table</x:v>
      </x:c>
    </x:row>
    <x:row r="7">
      <x:c r="A7" s="32" t="str">
        <x:v>Food delivery</x:v>
      </x:c>
      <x:c r="B7" s="32" t="str">
        <x:v>Adjusted revenue</x:v>
      </x:c>
      <x:c r="C7" s="32" t="str">
        <x:v>INR crore</x:v>
      </x:c>
      <x:c r="D7" s="33" t="n">
        <x:v>2409</x:v>
      </x:c>
      <x:c r="E7" s="33" t="n">
        <x:v>2657</x:v>
      </x:c>
      <x:c r="F7" s="33" t="n">
        <x:v>2863</x:v>
      </x:c>
      <x:c r="G7" s="33" t="n">
        <x:v>3053</x:v>
      </x:c>
      <x:c r="H7" s="33" t="n">
        <x:v>3125</x:v>
      </x:c>
      <x:c r="I7" s="32" t="str">
        <x:v>S8 | Eternal_Q4FY26.pdf | PDF p13 / filing p12 | Food delivery and quick commerce metrics</x:v>
      </x:c>
      <x:c r="J7" s="32" t="str">
        <x:v>Verified visually</x:v>
      </x:c>
      <x:c r="K7" s="32" t="str">
        <x:v>Required</x:v>
      </x:c>
      <x:c r="L7" s="32" t="str">
        <x:v>Official quarterly filing</x:v>
      </x:c>
      <x:c r="M7" s="32" t="str">
        <x:v>Segment table</x:v>
      </x:c>
    </x:row>
    <x:row r="8">
      <x:c r="A8" s="32" t="str">
        <x:v>Food delivery</x:v>
      </x:c>
      <x:c r="B8" s="32" t="str">
        <x:v>Adjusted revenue YoY growth</x:v>
      </x:c>
      <x:c r="C8" s="32" t="str">
        <x:v>%</x:v>
      </x:c>
      <x:c r="D8" s="34" t="n">
        <x:v>0.175</x:v>
      </x:c>
      <x:c r="E8" s="34" t="n">
        <x:v>0.178</x:v>
      </x:c>
      <x:c r="F8" s="34" t="n">
        <x:v>0.224</x:v>
      </x:c>
      <x:c r="G8" s="34" t="n">
        <x:v>0.265</x:v>
      </x:c>
      <x:c r="H8" s="34" t="n">
        <x:v>0.297</x:v>
      </x:c>
      <x:c r="I8" s="32" t="str">
        <x:v>S8 | Eternal_Q4FY26.pdf | PDF p13 / filing p12 | Food delivery and quick commerce metrics</x:v>
      </x:c>
      <x:c r="J8" s="32" t="str">
        <x:v>Verified visually</x:v>
      </x:c>
      <x:c r="K8" s="32" t="str">
        <x:v>Optional</x:v>
      </x:c>
      <x:c r="L8" s="32" t="str">
        <x:v>Official quarterly filing</x:v>
      </x:c>
      <x:c r="M8" s="32" t="str">
        <x:v>Segment table</x:v>
      </x:c>
    </x:row>
    <x:row r="9">
      <x:c r="A9" s="32" t="str">
        <x:v>Food delivery</x:v>
      </x:c>
      <x:c r="B9" s="32" t="str">
        <x:v>Contribution</x:v>
      </x:c>
      <x:c r="C9" s="32" t="str">
        <x:v>INR crore</x:v>
      </x:c>
      <x:c r="D9" s="33" t="n">
        <x:v>842</x:v>
      </x:c>
      <x:c r="E9" s="33" t="n">
        <x:v>885</x:v>
      </x:c>
      <x:c r="F9" s="33" t="n">
        <x:v>976</x:v>
      </x:c>
      <x:c r="G9" s="33" t="n">
        <x:v>1023</x:v>
      </x:c>
      <x:c r="H9" s="33" t="n">
        <x:v>998</x:v>
      </x:c>
      <x:c r="I9" s="32" t="str">
        <x:v>S8 | Eternal_Q4FY26.pdf | PDF p13 / filing p12 | Food delivery and quick commerce metrics</x:v>
      </x:c>
      <x:c r="J9" s="32" t="str">
        <x:v>Verified visually</x:v>
      </x:c>
      <x:c r="K9" s="32" t="str">
        <x:v>Required</x:v>
      </x:c>
      <x:c r="L9" s="32" t="str">
        <x:v>Official quarterly filing</x:v>
      </x:c>
      <x:c r="M9" s="32" t="str">
        <x:v>Segment table</x:v>
      </x:c>
    </x:row>
    <x:row r="10">
      <x:c r="A10" s="32" t="str">
        <x:v>Food delivery</x:v>
      </x:c>
      <x:c r="B10" s="32" t="str">
        <x:v>Contribution margin</x:v>
      </x:c>
      <x:c r="C10" s="32" t="str">
        <x:v>% of NOV</x:v>
      </x:c>
      <x:c r="D10" s="34" t="n">
        <x:v>0.103</x:v>
      </x:c>
      <x:c r="E10" s="34" t="n">
        <x:v>0.099</x:v>
      </x:c>
      <x:c r="F10" s="34" t="n">
        <x:v>0.104</x:v>
      </x:c>
      <x:c r="G10" s="34" t="n">
        <x:v>0.104</x:v>
      </x:c>
      <x:c r="H10" s="34" t="n">
        <x:v>0.102</x:v>
      </x:c>
      <x:c r="I10" s="32" t="str">
        <x:v>S8 | Eternal_Q4FY26.pdf | PDF p13 / filing p12 | Food delivery and quick commerce metrics</x:v>
      </x:c>
      <x:c r="J10" s="32" t="str">
        <x:v>Verified visually</x:v>
      </x:c>
      <x:c r="K10" s="32" t="str">
        <x:v>Required</x:v>
      </x:c>
      <x:c r="L10" s="32" t="str">
        <x:v>Official quarterly filing</x:v>
      </x:c>
      <x:c r="M10" s="32" t="str">
        <x:v>Segment table</x:v>
      </x:c>
    </x:row>
    <x:row r="11">
      <x:c r="A11" s="32" t="str">
        <x:v>Food delivery</x:v>
      </x:c>
      <x:c r="B11" s="32" t="str">
        <x:v>Adjusted EBITDA</x:v>
      </x:c>
      <x:c r="C11" s="32" t="str">
        <x:v>INR crore</x:v>
      </x:c>
      <x:c r="D11" s="33" t="n">
        <x:v>428</x:v>
      </x:c>
      <x:c r="E11" s="33" t="n">
        <x:v>451</x:v>
      </x:c>
      <x:c r="F11" s="33" t="n">
        <x:v>503</x:v>
      </x:c>
      <x:c r="G11" s="33" t="n">
        <x:v>531</x:v>
      </x:c>
      <x:c r="H11" s="33" t="n">
        <x:v>532</x:v>
      </x:c>
      <x:c r="I11" s="32" t="str">
        <x:v>S8 | Eternal_Q4FY26.pdf | PDF p13 / filing p12 | Food delivery and quick commerce metrics</x:v>
      </x:c>
      <x:c r="J11" s="32" t="str">
        <x:v>Verified visually</x:v>
      </x:c>
      <x:c r="K11" s="32" t="str">
        <x:v>Required</x:v>
      </x:c>
      <x:c r="L11" s="32" t="str">
        <x:v>Official quarterly filing</x:v>
      </x:c>
      <x:c r="M11" s="32" t="str">
        <x:v>Segment table</x:v>
      </x:c>
    </x:row>
    <x:row r="12">
      <x:c r="A12" s="32" t="str">
        <x:v>Food delivery</x:v>
      </x:c>
      <x:c r="B12" s="32" t="str">
        <x:v>Adjusted EBITDA margin</x:v>
      </x:c>
      <x:c r="C12" s="32" t="str">
        <x:v>% of NOV</x:v>
      </x:c>
      <x:c r="D12" s="34" t="n">
        <x:v>0.052</x:v>
      </x:c>
      <x:c r="E12" s="34" t="n">
        <x:v>0.05</x:v>
      </x:c>
      <x:c r="F12" s="34" t="n">
        <x:v>0.053</x:v>
      </x:c>
      <x:c r="G12" s="34" t="n">
        <x:v>0.054</x:v>
      </x:c>
      <x:c r="H12" s="34" t="n">
        <x:v>0.055</x:v>
      </x:c>
      <x:c r="I12" s="32" t="str">
        <x:v>S8 | Eternal_Q4FY26.pdf | PDF p13 / filing p12 | Food delivery and quick commerce metrics</x:v>
      </x:c>
      <x:c r="J12" s="32" t="str">
        <x:v>Verified visually</x:v>
      </x:c>
      <x:c r="K12" s="32" t="str">
        <x:v>Required</x:v>
      </x:c>
      <x:c r="L12" s="32" t="str">
        <x:v>Official quarterly filing</x:v>
      </x:c>
      <x:c r="M12" s="32" t="str">
        <x:v>Segment table</x:v>
      </x:c>
    </x:row>
    <x:row r="13">
      <x:c r="A13" s="32" t="str">
        <x:v>Food delivery</x:v>
      </x:c>
      <x:c r="B13" s="32" t="str">
        <x:v>Average monthly transacting customers</x:v>
      </x:c>
      <x:c r="C13" s="32" t="str">
        <x:v>million</x:v>
      </x:c>
      <x:c r="D13" s="33" t="n">
        <x:v>20.9</x:v>
      </x:c>
      <x:c r="E13" s="33" t="n">
        <x:v>22.9</x:v>
      </x:c>
      <x:c r="F13" s="33" t="n">
        <x:v>24.1</x:v>
      </x:c>
      <x:c r="G13" s="33" t="n">
        <x:v>24.9</x:v>
      </x:c>
      <x:c r="H13" s="33" t="n">
        <x:v>25.4</x:v>
      </x:c>
      <x:c r="I13" s="32" t="str">
        <x:v>S8 | Eternal_Q4FY26.pdf | PDF p13 / filing p12 | Food delivery and quick commerce metrics</x:v>
      </x:c>
      <x:c r="J13" s="32" t="str">
        <x:v>Verified visually</x:v>
      </x:c>
      <x:c r="K13" s="32" t="str">
        <x:v>Required</x:v>
      </x:c>
      <x:c r="L13" s="32" t="str">
        <x:v>Official quarterly filing</x:v>
      </x:c>
      <x:c r="M13" s="32" t="str">
        <x:v>Operating metrics</x:v>
      </x:c>
    </x:row>
    <x:row r="14">
      <x:c r="A14" s="32" t="str">
        <x:v>Food delivery</x:v>
      </x:c>
      <x:c r="B14" s="32" t="str">
        <x:v>Average monthly active restaurant partners</x:v>
      </x:c>
      <x:c r="C14" s="32" t="str">
        <x:v>'000</x:v>
      </x:c>
      <x:c r="D14" s="33" t="n">
        <x:v>314</x:v>
      </x:c>
      <x:c r="E14" s="33" t="n">
        <x:v>313</x:v>
      </x:c>
      <x:c r="F14" s="33" t="n">
        <x:v>327</x:v>
      </x:c>
      <x:c r="G14" s="33" t="n">
        <x:v>336</x:v>
      </x:c>
      <x:c r="H14" s="33" t="n">
        <x:v>344</x:v>
      </x:c>
      <x:c r="I14" s="32" t="str">
        <x:v>S8 | Eternal_Q4FY26.pdf | PDF p13 / filing p12 | Food delivery and quick commerce metrics</x:v>
      </x:c>
      <x:c r="J14" s="32" t="str">
        <x:v>Verified visually</x:v>
      </x:c>
      <x:c r="K14" s="32" t="str">
        <x:v>Optional</x:v>
      </x:c>
      <x:c r="L14" s="32" t="str">
        <x:v>Official quarterly filing</x:v>
      </x:c>
      <x:c r="M14" s="32" t="str">
        <x:v>Operating metrics</x:v>
      </x:c>
    </x:row>
    <x:row r="15">
      <x:c r="A15" s="32" t="str">
        <x:v>Food delivery</x:v>
      </x:c>
      <x:c r="B15" s="32" t="str">
        <x:v>Average monthly active delivery partners</x:v>
      </x:c>
      <x:c r="C15" s="32" t="str">
        <x:v>'000</x:v>
      </x:c>
      <x:c r="D15" s="33" t="n">
        <x:v>444</x:v>
      </x:c>
      <x:c r="E15" s="33" t="n">
        <x:v>509</x:v>
      </x:c>
      <x:c r="F15" s="33" t="n">
        <x:v>555</x:v>
      </x:c>
      <x:c r="G15" s="33" t="n">
        <x:v>567</x:v>
      </x:c>
      <x:c r="H15" s="33" t="n">
        <x:v>576</x:v>
      </x:c>
      <x:c r="I15" s="32" t="str">
        <x:v>S8 | Eternal_Q4FY26.pdf | PDF p13 / filing p12 | Food delivery and quick commerce metrics</x:v>
      </x:c>
      <x:c r="J15" s="32" t="str">
        <x:v>Verified visually</x:v>
      </x:c>
      <x:c r="K15" s="32" t="str">
        <x:v>Optional</x:v>
      </x:c>
      <x:c r="L15" s="32" t="str">
        <x:v>Official quarterly filing</x:v>
      </x:c>
      <x:c r="M15" s="32" t="str">
        <x:v>Operating metrics</x:v>
      </x:c>
    </x:row>
    <x:row r="16">
      <x:c r="A16" s="32" t="str">
        <x:v>Quick commerce</x:v>
      </x:c>
      <x:c r="B16" s="32" t="str">
        <x:v>NOV</x:v>
      </x:c>
      <x:c r="C16" s="32" t="str">
        <x:v>INR crore</x:v>
      </x:c>
      <x:c r="D16" s="33" t="n">
        <x:v>7362</x:v>
      </x:c>
      <x:c r="E16" s="33" t="n">
        <x:v>9203</x:v>
      </x:c>
      <x:c r="F16" s="33" t="n">
        <x:v>11679</x:v>
      </x:c>
      <x:c r="G16" s="33" t="n">
        <x:v>13300</x:v>
      </x:c>
      <x:c r="H16" s="33" t="n">
        <x:v>14386</x:v>
      </x:c>
      <x:c r="I16" s="32" t="str">
        <x:v>S8 | Eternal_Q4FY26.pdf | PDF p13 / filing p12 | Food delivery and quick commerce metrics</x:v>
      </x:c>
      <x:c r="J16" s="32" t="str">
        <x:v>Verified visually</x:v>
      </x:c>
      <x:c r="K16" s="32" t="str">
        <x:v>Required</x:v>
      </x:c>
      <x:c r="L16" s="32" t="str">
        <x:v>Official quarterly filing</x:v>
      </x:c>
      <x:c r="M16" s="32" t="str">
        <x:v>Segment table</x:v>
      </x:c>
    </x:row>
    <x:row r="17">
      <x:c r="A17" s="32" t="str">
        <x:v>Quick commerce</x:v>
      </x:c>
      <x:c r="B17" s="32" t="str">
        <x:v>NOV YoY growth</x:v>
      </x:c>
      <x:c r="C17" s="32" t="str">
        <x:v>%</x:v>
      </x:c>
      <x:c r="D17" s="34" t="n">
        <x:v>1.207</x:v>
      </x:c>
      <x:c r="E17" s="34" t="n">
        <x:v>1.266</x:v>
      </x:c>
      <x:c r="F17" s="34" t="n">
        <x:v>1.37</x:v>
      </x:c>
      <x:c r="G17" s="34" t="n">
        <x:v>1.209</x:v>
      </x:c>
      <x:c r="H17" s="34" t="n">
        <x:v>0.954</x:v>
      </x:c>
      <x:c r="I17" s="32" t="str">
        <x:v>S8 | Eternal_Q4FY26.pdf | PDF p13 / filing p12 | Food delivery and quick commerce metrics</x:v>
      </x:c>
      <x:c r="J17" s="32" t="str">
        <x:v>Verified visually</x:v>
      </x:c>
      <x:c r="K17" s="32" t="str">
        <x:v>Optional</x:v>
      </x:c>
      <x:c r="L17" s="32" t="str">
        <x:v>Official quarterly filing</x:v>
      </x:c>
      <x:c r="M17" s="32" t="str">
        <x:v>Segment table</x:v>
      </x:c>
    </x:row>
    <x:row r="18">
      <x:c r="A18" s="32" t="str">
        <x:v>Quick commerce</x:v>
      </x:c>
      <x:c r="B18" s="32" t="str">
        <x:v>Revenue</x:v>
      </x:c>
      <x:c r="C18" s="32" t="str">
        <x:v>INR crore</x:v>
      </x:c>
      <x:c r="D18" s="33" t="n">
        <x:v>1709</x:v>
      </x:c>
      <x:c r="E18" s="33" t="n">
        <x:v>2400</x:v>
      </x:c>
      <x:c r="F18" s="33" t="n">
        <x:v>9891</x:v>
      </x:c>
      <x:c r="G18" s="33" t="n">
        <x:v>12256</x:v>
      </x:c>
      <x:c r="H18" s="33" t="n">
        <x:v>13232</x:v>
      </x:c>
      <x:c r="I18" s="32" t="str">
        <x:v>S8 | Eternal_Q4FY26.pdf | PDF p13 / filing p12 | Food delivery and quick commerce metrics</x:v>
      </x:c>
      <x:c r="J18" s="32" t="str">
        <x:v>Verified visually</x:v>
      </x:c>
      <x:c r="K18" s="32" t="str">
        <x:v>Required</x:v>
      </x:c>
      <x:c r="L18" s="32" t="str">
        <x:v>Official quarterly filing</x:v>
      </x:c>
      <x:c r="M18" s="32" t="str">
        <x:v>Segment table</x:v>
      </x:c>
    </x:row>
    <x:row r="19">
      <x:c r="A19" s="32" t="str">
        <x:v>Quick commerce</x:v>
      </x:c>
      <x:c r="B19" s="32" t="str">
        <x:v>Revenue YoY growth</x:v>
      </x:c>
      <x:c r="C19" s="32" t="str">
        <x:v>%</x:v>
      </x:c>
      <x:c r="D19" s="34" t="n">
        <x:v>1.222</x:v>
      </x:c>
      <x:c r="E19" s="34" t="n">
        <x:v>1.548</x:v>
      </x:c>
      <x:c r="F19" s="34" t="n">
        <x:v>7.556</x:v>
      </x:c>
      <x:c r="G19" s="34" t="n">
        <x:v>7.761</x:v>
      </x:c>
      <x:c r="H19" s="34" t="n">
        <x:v>6.743</x:v>
      </x:c>
      <x:c r="I19" s="32" t="str">
        <x:v>S8 | Eternal_Q4FY26.pdf | PDF p13 / filing p12 | Food delivery and quick commerce metrics</x:v>
      </x:c>
      <x:c r="J19" s="32" t="str">
        <x:v>Verified visually</x:v>
      </x:c>
      <x:c r="K19" s="32" t="str">
        <x:v>Optional</x:v>
      </x:c>
      <x:c r="L19" s="32" t="str">
        <x:v>Official quarterly filing</x:v>
      </x:c>
      <x:c r="M19" s="32" t="str">
        <x:v>Segment table</x:v>
      </x:c>
    </x:row>
    <x:row r="20">
      <x:c r="A20" s="32" t="str">
        <x:v>Quick commerce</x:v>
      </x:c>
      <x:c r="B20" s="32" t="str">
        <x:v>Gross profit</x:v>
      </x:c>
      <x:c r="C20" s="32" t="str">
        <x:v>INR crore</x:v>
      </x:c>
      <x:c r="D20" s="33" t="n">
        <x:v>1709</x:v>
      </x:c>
      <x:c r="E20" s="33" t="n">
        <x:v>2168</x:v>
      </x:c>
      <x:c r="F20" s="33" t="n">
        <x:v>3132</x:v>
      </x:c>
      <x:c r="G20" s="33" t="n">
        <x:v>3539</x:v>
      </x:c>
      <x:c r="H20" s="33" t="n">
        <x:v>3867</x:v>
      </x:c>
      <x:c r="I20" s="32" t="str">
        <x:v>S8 | Eternal_Q4FY26.pdf | PDF p13 / filing p12 | Food delivery and quick commerce metrics</x:v>
      </x:c>
      <x:c r="J20" s="32" t="str">
        <x:v>Verified visually</x:v>
      </x:c>
      <x:c r="K20" s="32" t="str">
        <x:v>Required</x:v>
      </x:c>
      <x:c r="L20" s="32" t="str">
        <x:v>Official quarterly filing</x:v>
      </x:c>
      <x:c r="M20" s="32" t="str">
        <x:v>Segment table</x:v>
      </x:c>
    </x:row>
    <x:row r="21">
      <x:c r="A21" s="32" t="str">
        <x:v>Quick commerce</x:v>
      </x:c>
      <x:c r="B21" s="32" t="str">
        <x:v>Gross profit margin</x:v>
      </x:c>
      <x:c r="C21" s="32" t="str">
        <x:v>% of NOV</x:v>
      </x:c>
      <x:c r="D21" s="34" t="n">
        <x:v>0.232</x:v>
      </x:c>
      <x:c r="E21" s="34" t="n">
        <x:v>0.236</x:v>
      </x:c>
      <x:c r="F21" s="34" t="n">
        <x:v>0.268</x:v>
      </x:c>
      <x:c r="G21" s="34" t="n">
        <x:v>0.266</x:v>
      </x:c>
      <x:c r="H21" s="34" t="n">
        <x:v>0.269</x:v>
      </x:c>
      <x:c r="I21" s="32" t="str">
        <x:v>S8 | Eternal_Q4FY26.pdf | PDF p13 / filing p12 | Food delivery and quick commerce metrics</x:v>
      </x:c>
      <x:c r="J21" s="32" t="str">
        <x:v>Verified visually</x:v>
      </x:c>
      <x:c r="K21" s="32" t="str">
        <x:v>Required</x:v>
      </x:c>
      <x:c r="L21" s="32" t="str">
        <x:v>Official quarterly filing</x:v>
      </x:c>
      <x:c r="M21" s="32" t="str">
        <x:v>Segment table</x:v>
      </x:c>
    </x:row>
    <x:row r="22">
      <x:c r="A22" s="32" t="str">
        <x:v>Quick commerce</x:v>
      </x:c>
      <x:c r="B22" s="32" t="str">
        <x:v>Contribution</x:v>
      </x:c>
      <x:c r="C22" s="32" t="str">
        <x:v>INR crore</x:v>
      </x:c>
      <x:c r="D22" s="33" t="n">
        <x:v>289</x:v>
      </x:c>
      <x:c r="E22" s="33" t="n">
        <x:v>360</x:v>
      </x:c>
      <x:c r="F22" s="33" t="n">
        <x:v>542</x:v>
      </x:c>
      <x:c r="G22" s="33" t="n">
        <x:v>736</x:v>
      </x:c>
      <x:c r="H22" s="33" t="n">
        <x:v>782</x:v>
      </x:c>
      <x:c r="I22" s="32" t="str">
        <x:v>S8 | Eternal_Q4FY26.pdf | PDF p13 / filing p12 | Food delivery and quick commerce metrics</x:v>
      </x:c>
      <x:c r="J22" s="32" t="str">
        <x:v>Verified visually</x:v>
      </x:c>
      <x:c r="K22" s="32" t="str">
        <x:v>Required</x:v>
      </x:c>
      <x:c r="L22" s="32" t="str">
        <x:v>Official quarterly filing</x:v>
      </x:c>
      <x:c r="M22" s="32" t="str">
        <x:v>Segment table</x:v>
      </x:c>
    </x:row>
    <x:row r="23">
      <x:c r="A23" s="32" t="str">
        <x:v>Quick commerce</x:v>
      </x:c>
      <x:c r="B23" s="32" t="str">
        <x:v>Contribution margin</x:v>
      </x:c>
      <x:c r="C23" s="32" t="str">
        <x:v>% of NOV</x:v>
      </x:c>
      <x:c r="D23" s="34" t="n">
        <x:v>0.039</x:v>
      </x:c>
      <x:c r="E23" s="34" t="n">
        <x:v>0.039</x:v>
      </x:c>
      <x:c r="F23" s="34" t="n">
        <x:v>0.046</x:v>
      </x:c>
      <x:c r="G23" s="34" t="n">
        <x:v>0.055</x:v>
      </x:c>
      <x:c r="H23" s="34" t="n">
        <x:v>0.054</x:v>
      </x:c>
      <x:c r="I23" s="32" t="str">
        <x:v>S8 | Eternal_Q4FY26.pdf | PDF p13 / filing p12 | Food delivery and quick commerce metrics</x:v>
      </x:c>
      <x:c r="J23" s="32" t="str">
        <x:v>Verified visually</x:v>
      </x:c>
      <x:c r="K23" s="32" t="str">
        <x:v>Required</x:v>
      </x:c>
      <x:c r="L23" s="32" t="str">
        <x:v>Official quarterly filing</x:v>
      </x:c>
      <x:c r="M23" s="32" t="str">
        <x:v>Segment table</x:v>
      </x:c>
    </x:row>
    <x:row r="24">
      <x:c r="A24" s="32" t="str">
        <x:v>Quick commerce</x:v>
      </x:c>
      <x:c r="B24" s="32" t="str">
        <x:v>Adjusted EBITDA</x:v>
      </x:c>
      <x:c r="C24" s="32" t="str">
        <x:v>INR crore</x:v>
      </x:c>
      <x:c r="D24" s="33" t="n">
        <x:v>-178</x:v>
      </x:c>
      <x:c r="E24" s="33" t="n">
        <x:v>-162</x:v>
      </x:c>
      <x:c r="F24" s="33" t="n">
        <x:v>-156</x:v>
      </x:c>
      <x:c r="G24" s="33" t="n">
        <x:v>4</x:v>
      </x:c>
      <x:c r="H24" s="33" t="n">
        <x:v>37</x:v>
      </x:c>
      <x:c r="I24" s="32" t="str">
        <x:v>S8 | Eternal_Q4FY26.pdf | PDF p13 / filing p12 | Food delivery and quick commerce metrics</x:v>
      </x:c>
      <x:c r="J24" s="32" t="str">
        <x:v>Verified visually</x:v>
      </x:c>
      <x:c r="K24" s="32" t="str">
        <x:v>Required</x:v>
      </x:c>
      <x:c r="L24" s="32" t="str">
        <x:v>Official quarterly filing</x:v>
      </x:c>
      <x:c r="M24" s="32" t="str">
        <x:v>Segment table</x:v>
      </x:c>
    </x:row>
    <x:row r="25">
      <x:c r="A25" s="32" t="str">
        <x:v>Quick commerce</x:v>
      </x:c>
      <x:c r="B25" s="32" t="str">
        <x:v>Adjusted EBITDA margin</x:v>
      </x:c>
      <x:c r="C25" s="32" t="str">
        <x:v>% of NOV</x:v>
      </x:c>
      <x:c r="D25" s="34" t="n">
        <x:v>-0.024</x:v>
      </x:c>
      <x:c r="E25" s="34" t="n">
        <x:v>-0.018</x:v>
      </x:c>
      <x:c r="F25" s="34" t="n">
        <x:v>-0.013</x:v>
      </x:c>
      <x:c r="G25" s="34" t="n">
        <x:v>0</x:v>
      </x:c>
      <x:c r="H25" s="34" t="n">
        <x:v>0.003</x:v>
      </x:c>
      <x:c r="I25" s="32" t="str">
        <x:v>S8 | Eternal_Q4FY26.pdf | PDF p13 / filing p12 | Food delivery and quick commerce metrics</x:v>
      </x:c>
      <x:c r="J25" s="32" t="str">
        <x:v>Verified visually</x:v>
      </x:c>
      <x:c r="K25" s="32" t="str">
        <x:v>Required</x:v>
      </x:c>
      <x:c r="L25" s="32" t="str">
        <x:v>Official quarterly filing</x:v>
      </x:c>
      <x:c r="M25" s="32" t="str">
        <x:v>Segment table</x:v>
      </x:c>
    </x:row>
    <x:row r="26">
      <x:c r="A26" s="32" t="str">
        <x:v>Quick commerce</x:v>
      </x:c>
      <x:c r="B26" s="32" t="str">
        <x:v>Orders</x:v>
      </x:c>
      <x:c r="C26" s="32" t="str">
        <x:v>million</x:v>
      </x:c>
      <x:c r="D26" s="33" t="n">
        <x:v>141.7</x:v>
      </x:c>
      <x:c r="E26" s="33" t="n">
        <x:v>176.7</x:v>
      </x:c>
      <x:c r="F26" s="33" t="n">
        <x:v>222.7</x:v>
      </x:c>
      <x:c r="G26" s="33" t="n">
        <x:v>243.3</x:v>
      </x:c>
      <x:c r="H26" s="33" t="n">
        <x:v>273.9</x:v>
      </x:c>
      <x:c r="I26" s="32" t="str">
        <x:v>S8 | Eternal_Q4FY26.pdf | PDF p13 / filing p12 | Food delivery and quick commerce metrics</x:v>
      </x:c>
      <x:c r="J26" s="32" t="str">
        <x:v>Verified visually</x:v>
      </x:c>
      <x:c r="K26" s="32" t="str">
        <x:v>Required</x:v>
      </x:c>
      <x:c r="L26" s="32" t="str">
        <x:v>Official quarterly filing</x:v>
      </x:c>
      <x:c r="M26" s="32" t="str">
        <x:v>Operating metrics</x:v>
      </x:c>
    </x:row>
    <x:row r="27">
      <x:c r="A27" s="32" t="str">
        <x:v>Quick commerce</x:v>
      </x:c>
      <x:c r="B27" s="32" t="str">
        <x:v>Net average order value</x:v>
      </x:c>
      <x:c r="C27" s="32" t="str">
        <x:v>INR</x:v>
      </x:c>
      <x:c r="D27" s="33" t="n">
        <x:v>520</x:v>
      </x:c>
      <x:c r="E27" s="33" t="n">
        <x:v>521</x:v>
      </x:c>
      <x:c r="F27" s="33" t="n">
        <x:v>524</x:v>
      </x:c>
      <x:c r="G27" s="33" t="n">
        <x:v>547</x:v>
      </x:c>
      <x:c r="H27" s="33" t="n">
        <x:v>525</x:v>
      </x:c>
      <x:c r="I27" s="32" t="str">
        <x:v>S8 | Eternal_Q4FY26.pdf | PDF p13 / filing p12 | Food delivery and quick commerce metrics</x:v>
      </x:c>
      <x:c r="J27" s="32" t="str">
        <x:v>Verified visually</x:v>
      </x:c>
      <x:c r="K27" s="32" t="str">
        <x:v>Required</x:v>
      </x:c>
      <x:c r="L27" s="32" t="str">
        <x:v>Official quarterly filing</x:v>
      </x:c>
      <x:c r="M27" s="32" t="str">
        <x:v>Operating metrics</x:v>
      </x:c>
    </x:row>
    <x:row r="28">
      <x:c r="A28" s="32" t="str">
        <x:v>Quick commerce</x:v>
      </x:c>
      <x:c r="B28" s="32" t="str">
        <x:v>Average monthly transacting customers</x:v>
      </x:c>
      <x:c r="C28" s="32" t="str">
        <x:v>million</x:v>
      </x:c>
      <x:c r="D28" s="33" t="n">
        <x:v>13.7</x:v>
      </x:c>
      <x:c r="E28" s="33" t="n">
        <x:v>16.9</x:v>
      </x:c>
      <x:c r="F28" s="33" t="n">
        <x:v>20.8</x:v>
      </x:c>
      <x:c r="G28" s="33" t="n">
        <x:v>23.6</x:v>
      </x:c>
      <x:c r="H28" s="33" t="n">
        <x:v>27.2</x:v>
      </x:c>
      <x:c r="I28" s="32" t="str">
        <x:v>S8 | Eternal_Q4FY26.pdf | PDF p13 / filing p12 | Food delivery and quick commerce metrics</x:v>
      </x:c>
      <x:c r="J28" s="32" t="str">
        <x:v>Verified visually</x:v>
      </x:c>
      <x:c r="K28" s="32" t="str">
        <x:v>Required</x:v>
      </x:c>
      <x:c r="L28" s="32" t="str">
        <x:v>Official quarterly filing</x:v>
      </x:c>
      <x:c r="M28" s="32" t="str">
        <x:v>Operating metrics</x:v>
      </x:c>
    </x:row>
    <x:row r="29">
      <x:c r="A29" s="32" t="str">
        <x:v>Quick commerce</x:v>
      </x:c>
      <x:c r="B29" s="32" t="str">
        <x:v>Average monthly active delivery partners</x:v>
      </x:c>
      <x:c r="C29" s="32" t="str">
        <x:v>'000</x:v>
      </x:c>
      <x:c r="D29" s="33" t="n">
        <x:v>185</x:v>
      </x:c>
      <x:c r="E29" s="33" t="n">
        <x:v>243</x:v>
      </x:c>
      <x:c r="F29" s="33" t="n">
        <x:v>339</x:v>
      </x:c>
      <x:c r="G29" s="33" t="n">
        <x:v>369</x:v>
      </x:c>
      <x:c r="H29" s="33" t="n">
        <x:v>409</x:v>
      </x:c>
      <x:c r="I29" s="32" t="str">
        <x:v>S8 | Eternal_Q4FY26.pdf | PDF p13 / filing p12 | Food delivery and quick commerce metrics</x:v>
      </x:c>
      <x:c r="J29" s="32" t="str">
        <x:v>Verified visually</x:v>
      </x:c>
      <x:c r="K29" s="32" t="str">
        <x:v>Optional</x:v>
      </x:c>
      <x:c r="L29" s="32" t="str">
        <x:v>Official quarterly filing</x:v>
      </x:c>
      <x:c r="M29" s="32" t="str">
        <x:v>Operating metrics</x:v>
      </x:c>
    </x:row>
    <x:row r="30">
      <x:c r="A30" s="32" t="str">
        <x:v>Quick commerce</x:v>
      </x:c>
      <x:c r="B30" s="32" t="str">
        <x:v>Average NOV per day per store</x:v>
      </x:c>
      <x:c r="C30" s="32" t="str">
        <x:v>INR '000</x:v>
      </x:c>
      <x:c r="D30" s="33" t="n">
        <x:v>736</x:v>
      </x:c>
      <x:c r="E30" s="33" t="n">
        <x:v>734</x:v>
      </x:c>
      <x:c r="F30" s="33" t="n">
        <x:v>771</x:v>
      </x:c>
      <x:c r="G30" s="33" t="n">
        <x:v>750</x:v>
      </x:c>
      <x:c r="H30" s="33" t="n">
        <x:v>768</x:v>
      </x:c>
      <x:c r="I30" s="32" t="str">
        <x:v>S8 | Eternal_Q4FY26.pdf | PDF p13 / filing p12 | Food delivery and quick commerce metrics</x:v>
      </x:c>
      <x:c r="J30" s="32" t="str">
        <x:v>Verified visually</x:v>
      </x:c>
      <x:c r="K30" s="32" t="str">
        <x:v>Optional</x:v>
      </x:c>
      <x:c r="L30" s="32" t="str">
        <x:v>Official quarterly filing</x:v>
      </x:c>
      <x:c r="M30" s="32" t="str">
        <x:v>Operating metrics</x:v>
      </x:c>
    </x:row>
    <x:row r="31">
      <x:c r="A31" s="32" t="str">
        <x:v>Quick commerce</x:v>
      </x:c>
      <x:c r="B31" s="32" t="str">
        <x:v>Stores at period end</x:v>
      </x:c>
      <x:c r="C31" s="32" t="str">
        <x:v>#</x:v>
      </x:c>
      <x:c r="D31" s="33" t="n">
        <x:v>1301</x:v>
      </x:c>
      <x:c r="E31" s="33" t="n">
        <x:v>1544</x:v>
      </x:c>
      <x:c r="F31" s="33" t="n">
        <x:v>1816</x:v>
      </x:c>
      <x:c r="G31" s="33" t="n">
        <x:v>2027</x:v>
      </x:c>
      <x:c r="H31" s="33" t="n">
        <x:v>2243</x:v>
      </x:c>
      <x:c r="I31" s="32" t="str">
        <x:v>S8 | Eternal_Q4FY26.pdf | PDF p13 / filing p12 | Food delivery and quick commerce metrics</x:v>
      </x:c>
      <x:c r="J31" s="32" t="str">
        <x:v>Verified visually</x:v>
      </x:c>
      <x:c r="K31" s="32" t="str">
        <x:v>Required</x:v>
      </x:c>
      <x:c r="L31" s="32" t="str">
        <x:v>Official quarterly filing</x:v>
      </x:c>
      <x:c r="M31" s="32" t="str">
        <x:v>Operating metrics</x:v>
      </x:c>
    </x:row>
    <x:row r="32">
      <x:c r="A32" s="32" t="str">
        <x:v>Going-out</x:v>
      </x:c>
      <x:c r="B32" s="32" t="str">
        <x:v>NOV</x:v>
      </x:c>
      <x:c r="C32" s="32" t="str">
        <x:v>INR crore</x:v>
      </x:c>
      <x:c r="D32" s="33" t="n">
        <x:v>1868</x:v>
      </x:c>
      <x:c r="E32" s="33" t="n">
        <x:v>2013</x:v>
      </x:c>
      <x:c r="F32" s="33" t="n">
        <x:v>2063</x:v>
      </x:c>
      <x:c r="G32" s="33" t="n">
        <x:v>2587</x:v>
      </x:c>
      <x:c r="H32" s="33" t="n">
        <x:v>2736</x:v>
      </x:c>
      <x:c r="I32" s="32" t="str">
        <x:v>S8 | Eternal_Q4FY26.pdf | PDF p14 / filing p13 | Going-out, Hyperpure, cash balance</x:v>
      </x:c>
      <x:c r="J32" s="32" t="str">
        <x:v>Verified visually</x:v>
      </x:c>
      <x:c r="K32" s="32" t="str">
        <x:v>Required</x:v>
      </x:c>
      <x:c r="L32" s="32" t="str">
        <x:v>Official quarterly filing</x:v>
      </x:c>
      <x:c r="M32" s="32" t="str">
        <x:v>Segment table</x:v>
      </x:c>
    </x:row>
    <x:row r="33">
      <x:c r="A33" s="32" t="str">
        <x:v>Going-out</x:v>
      </x:c>
      <x:c r="B33" s="32" t="str">
        <x:v>NOV YoY growth</x:v>
      </x:c>
      <x:c r="C33" s="32" t="str">
        <x:v>%</x:v>
      </x:c>
      <x:c r="D33" s="34" t="n">
        <x:v>1.222</x:v>
      </x:c>
      <x:c r="E33" s="34" t="n">
        <x:v>0.953</x:v>
      </x:c>
      <x:c r="F33" s="34" t="n">
        <x:v>0.32</x:v>
      </x:c>
      <x:c r="G33" s="34" t="n">
        <x:v>0.199</x:v>
      </x:c>
      <x:c r="H33" s="34" t="n">
        <x:v>0.465</x:v>
      </x:c>
      <x:c r="I33" s="32" t="str">
        <x:v>S8 | Eternal_Q4FY26.pdf | PDF p14 / filing p13 | Going-out, Hyperpure, cash balance</x:v>
      </x:c>
      <x:c r="J33" s="32" t="str">
        <x:v>Verified visually</x:v>
      </x:c>
      <x:c r="K33" s="32" t="str">
        <x:v>Optional</x:v>
      </x:c>
      <x:c r="L33" s="32" t="str">
        <x:v>Official quarterly filing</x:v>
      </x:c>
      <x:c r="M33" s="32" t="str">
        <x:v>Segment table</x:v>
      </x:c>
    </x:row>
    <x:row r="34">
      <x:c r="A34" s="32" t="str">
        <x:v>Going-out</x:v>
      </x:c>
      <x:c r="B34" s="32" t="str">
        <x:v>Revenue</x:v>
      </x:c>
      <x:c r="C34" s="32" t="str">
        <x:v>INR crore</x:v>
      </x:c>
      <x:c r="D34" s="33" t="n">
        <x:v>229</x:v>
      </x:c>
      <x:c r="E34" s="33" t="n">
        <x:v>207</x:v>
      </x:c>
      <x:c r="F34" s="33" t="n">
        <x:v>189</x:v>
      </x:c>
      <x:c r="G34" s="33" t="n">
        <x:v>300</x:v>
      </x:c>
      <x:c r="H34" s="33" t="n">
        <x:v>277</x:v>
      </x:c>
      <x:c r="I34" s="32" t="str">
        <x:v>S8 | Eternal_Q4FY26.pdf | PDF p14 / filing p13 | Going-out, Hyperpure, cash balance</x:v>
      </x:c>
      <x:c r="J34" s="32" t="str">
        <x:v>Verified visually</x:v>
      </x:c>
      <x:c r="K34" s="32" t="str">
        <x:v>Required</x:v>
      </x:c>
      <x:c r="L34" s="32" t="str">
        <x:v>Official quarterly filing</x:v>
      </x:c>
      <x:c r="M34" s="32" t="str">
        <x:v>Segment table</x:v>
      </x:c>
    </x:row>
    <x:row r="35">
      <x:c r="A35" s="32" t="str">
        <x:v>Going-out</x:v>
      </x:c>
      <x:c r="B35" s="32" t="str">
        <x:v>Revenue YoY growth</x:v>
      </x:c>
      <x:c r="C35" s="32" t="str">
        <x:v>%</x:v>
      </x:c>
      <x:c r="D35" s="34" t="n">
        <x:v>1.462</x:v>
      </x:c>
      <x:c r="E35" s="34" t="n">
        <x:v>1.179</x:v>
      </x:c>
      <x:c r="F35" s="34" t="n">
        <x:v>0.227</x:v>
      </x:c>
      <x:c r="G35" s="34" t="n">
        <x:v>0.158</x:v>
      </x:c>
      <x:c r="H35" s="34" t="n">
        <x:v>0.21</x:v>
      </x:c>
      <x:c r="I35" s="32" t="str">
        <x:v>S8 | Eternal_Q4FY26.pdf | PDF p14 / filing p13 | Going-out, Hyperpure, cash balance</x:v>
      </x:c>
      <x:c r="J35" s="32" t="str">
        <x:v>Verified visually</x:v>
      </x:c>
      <x:c r="K35" s="32" t="str">
        <x:v>Optional</x:v>
      </x:c>
      <x:c r="L35" s="32" t="str">
        <x:v>Official quarterly filing</x:v>
      </x:c>
      <x:c r="M35" s="32" t="str">
        <x:v>Segment table</x:v>
      </x:c>
    </x:row>
    <x:row r="36">
      <x:c r="A36" s="32" t="str">
        <x:v>Going-out</x:v>
      </x:c>
      <x:c r="B36" s="32" t="str">
        <x:v>Adjusted EBITDA</x:v>
      </x:c>
      <x:c r="C36" s="32" t="str">
        <x:v>INR crore</x:v>
      </x:c>
      <x:c r="D36" s="33" t="n">
        <x:v>-47</x:v>
      </x:c>
      <x:c r="E36" s="33" t="n">
        <x:v>-54</x:v>
      </x:c>
      <x:c r="F36" s="33" t="n">
        <x:v>-63</x:v>
      </x:c>
      <x:c r="G36" s="33" t="n">
        <x:v>-121</x:v>
      </x:c>
      <x:c r="H36" s="33" t="n">
        <x:v>-81</x:v>
      </x:c>
      <x:c r="I36" s="32" t="str">
        <x:v>S8 | Eternal_Q4FY26.pdf | PDF p14 / filing p13 | Going-out, Hyperpure, cash balance</x:v>
      </x:c>
      <x:c r="J36" s="32" t="str">
        <x:v>Verified visually</x:v>
      </x:c>
      <x:c r="K36" s="32" t="str">
        <x:v>Required</x:v>
      </x:c>
      <x:c r="L36" s="32" t="str">
        <x:v>Official quarterly filing</x:v>
      </x:c>
      <x:c r="M36" s="32" t="str">
        <x:v>Segment table</x:v>
      </x:c>
    </x:row>
    <x:row r="37">
      <x:c r="A37" s="32" t="str">
        <x:v>Going-out</x:v>
      </x:c>
      <x:c r="B37" s="32" t="str">
        <x:v>Adjusted EBITDA margin</x:v>
      </x:c>
      <x:c r="C37" s="32" t="str">
        <x:v>% of NOV</x:v>
      </x:c>
      <x:c r="D37" s="34" t="n">
        <x:v>-0.025</x:v>
      </x:c>
      <x:c r="E37" s="34" t="n">
        <x:v>-0.027</x:v>
      </x:c>
      <x:c r="F37" s="34" t="n">
        <x:v>-0.031</x:v>
      </x:c>
      <x:c r="G37" s="34" t="n">
        <x:v>-0.047</x:v>
      </x:c>
      <x:c r="H37" s="34" t="n">
        <x:v>-0.03</x:v>
      </x:c>
      <x:c r="I37" s="32" t="str">
        <x:v>S8 | Eternal_Q4FY26.pdf | PDF p14 / filing p13 | Going-out, Hyperpure, cash balance</x:v>
      </x:c>
      <x:c r="J37" s="32" t="str">
        <x:v>Verified visually</x:v>
      </x:c>
      <x:c r="K37" s="32" t="str">
        <x:v>Required</x:v>
      </x:c>
      <x:c r="L37" s="32" t="str">
        <x:v>Official quarterly filing</x:v>
      </x:c>
      <x:c r="M37" s="32" t="str">
        <x:v>Segment table</x:v>
      </x:c>
    </x:row>
    <x:row r="38">
      <x:c r="A38" s="32" t="str">
        <x:v>B2B supplies (Hyperpure)</x:v>
      </x:c>
      <x:c r="B38" s="32" t="str">
        <x:v>Revenue</x:v>
      </x:c>
      <x:c r="C38" s="32" t="str">
        <x:v>INR crore</x:v>
      </x:c>
      <x:c r="D38" s="33" t="n">
        <x:v>1840</x:v>
      </x:c>
      <x:c r="E38" s="33" t="n">
        <x:v>2295</x:v>
      </x:c>
      <x:c r="F38" s="33" t="n">
        <x:v>1023</x:v>
      </x:c>
      <x:c r="G38" s="33" t="n">
        <x:v>1070</x:v>
      </x:c>
      <x:c r="H38" s="33" t="n">
        <x:v>978</x:v>
      </x:c>
      <x:c r="I38" s="32" t="str">
        <x:v>S8 | Eternal_Q4FY26.pdf | PDF p14 / filing p13 | Going-out, Hyperpure, cash balance</x:v>
      </x:c>
      <x:c r="J38" s="32" t="str">
        <x:v>Verified visually</x:v>
      </x:c>
      <x:c r="K38" s="32" t="str">
        <x:v>Required</x:v>
      </x:c>
      <x:c r="L38" s="32" t="str">
        <x:v>Official quarterly filing</x:v>
      </x:c>
      <x:c r="M38" s="32" t="str">
        <x:v>Segment table</x:v>
      </x:c>
    </x:row>
    <x:row r="39">
      <x:c r="A39" s="32" t="str">
        <x:v>B2B supplies (Hyperpure)</x:v>
      </x:c>
      <x:c r="B39" s="32" t="str">
        <x:v>Revenue YoY growth</x:v>
      </x:c>
      <x:c r="C39" s="32" t="str">
        <x:v>%</x:v>
      </x:c>
      <x:c r="D39" s="34" t="n">
        <x:v>0.935</x:v>
      </x:c>
      <x:c r="E39" s="34" t="n">
        <x:v>0.894</x:v>
      </x:c>
      <x:c r="F39" s="34" t="n">
        <x:v>-0.305</x:v>
      </x:c>
      <x:c r="G39" s="34" t="n">
        <x:v>-0.36</x:v>
      </x:c>
      <x:c r="H39" s="34" t="n">
        <x:v>-0.468</x:v>
      </x:c>
      <x:c r="I39" s="32" t="str">
        <x:v>S8 | Eternal_Q4FY26.pdf | PDF p14 / filing p13 | Going-out, Hyperpure, cash balance</x:v>
      </x:c>
      <x:c r="J39" s="32" t="str">
        <x:v>Verified visually</x:v>
      </x:c>
      <x:c r="K39" s="32" t="str">
        <x:v>Optional</x:v>
      </x:c>
      <x:c r="L39" s="32" t="str">
        <x:v>Official quarterly filing</x:v>
      </x:c>
      <x:c r="M39" s="32" t="str">
        <x:v>Segment table</x:v>
      </x:c>
    </x:row>
    <x:row r="40">
      <x:c r="A40" s="32" t="str">
        <x:v>B2B supplies (Hyperpure)</x:v>
      </x:c>
      <x:c r="B40" s="32" t="str">
        <x:v>Adjusted EBITDA</x:v>
      </x:c>
      <x:c r="C40" s="32" t="str">
        <x:v>INR crore</x:v>
      </x:c>
      <x:c r="D40" s="33" t="n">
        <x:v>-22</x:v>
      </x:c>
      <x:c r="E40" s="33" t="n">
        <x:v>-18</x:v>
      </x:c>
      <x:c r="F40" s="33" t="n">
        <x:v>-5</x:v>
      </x:c>
      <x:c r="G40" s="33" t="n">
        <x:v>1</x:v>
      </x:c>
      <x:c r="H40" s="33" t="n">
        <x:v>5</x:v>
      </x:c>
      <x:c r="I40" s="32" t="str">
        <x:v>S8 | Eternal_Q4FY26.pdf | PDF p14 / filing p13 | Going-out, Hyperpure, cash balance</x:v>
      </x:c>
      <x:c r="J40" s="32" t="str">
        <x:v>Verified visually</x:v>
      </x:c>
      <x:c r="K40" s="32" t="str">
        <x:v>Required</x:v>
      </x:c>
      <x:c r="L40" s="32" t="str">
        <x:v>Official quarterly filing</x:v>
      </x:c>
      <x:c r="M40" s="32" t="str">
        <x:v>Segment table</x:v>
      </x:c>
    </x:row>
    <x:row r="41">
      <x:c r="A41" s="35" t="str">
        <x:v>B2B supplies (Hyperpure)</x:v>
      </x:c>
      <x:c r="B41" s="35" t="str">
        <x:v>Adjusted EBITDA margin</x:v>
      </x:c>
      <x:c r="C41" s="35" t="str">
        <x:v>% of Revenue</x:v>
      </x:c>
      <x:c r="D41" s="38" t="n">
        <x:v>-0.012</x:v>
      </x:c>
      <x:c r="E41" s="38" t="n">
        <x:v>-0.008</x:v>
      </x:c>
      <x:c r="F41" s="38" t="n">
        <x:v>-0.005</x:v>
      </x:c>
      <x:c r="G41" s="38" t="n">
        <x:v>0.001</x:v>
      </x:c>
      <x:c r="H41" s="38" t="n">
        <x:v>0.005</x:v>
      </x:c>
      <x:c r="I41" s="35" t="str">
        <x:v>S8 | Eternal_Q4FY26.pdf | PDF p14 / filing p13 | Going-out, Hyperpure, cash balance</x:v>
      </x:c>
      <x:c r="J41" s="35" t="str">
        <x:v>Verified visually</x:v>
      </x:c>
      <x:c r="K41" s="35" t="str">
        <x:v>Required</x:v>
      </x:c>
      <x:c r="L41" s="35" t="str">
        <x:v>Official quarterly filing</x:v>
      </x:c>
      <x:c r="M41" s="35" t="str">
        <x:v>Segment table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da4d4cc97a24a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4" hidden="0" customWidth="1"/>
    <x:col min="9" max="9" width="90" hidden="0" customWidth="1"/>
  </x:cols>
  <x:sheetData>
    <x:row r="1">
      <x:c r="A1" s="3" t="str">
        <x:v>Quarterly Data Checks</x:v>
      </x:c>
    </x:row>
    <x:row r="2">
      <x:c r="A2" s="6" t="str">
        <x:v>Formula-driven checks for source totals, adjusted revenue reconciliation, PAT bridge, and cash movement.</x:v>
      </x:c>
    </x:row>
    <x:row r="4">
      <x:c r="A4" s="40" t="str">
        <x:v>Check</x:v>
      </x:c>
      <x:c r="B4" s="40" t="str">
        <x:v>Q4FY25</x:v>
      </x:c>
      <x:c r="C4" s="40" t="str">
        <x:v>Q1FY26</x:v>
      </x:c>
      <x:c r="D4" s="40" t="str">
        <x:v>Q2FY26</x:v>
      </x:c>
      <x:c r="E4" s="40" t="str">
        <x:v>Q3FY26</x:v>
      </x:c>
      <x:c r="F4" s="40" t="str">
        <x:v>Q4FY26</x:v>
      </x:c>
      <x:c r="G4" s="40" t="str">
        <x:v>Tolerance</x:v>
      </x:c>
      <x:c r="H4" s="40" t="str">
        <x:v>Status</x:v>
      </x:c>
      <x:c r="I4" s="40" t="str">
        <x:v>Notes</x:v>
      </x:c>
    </x:row>
    <x:row r="5">
      <x:c r="A5" s="41" t="str">
        <x:v>B2C NOV total equals segment NOV</x:v>
      </x:c>
      <x:c r="B5" s="42" t="n">
        <x:f>('01_Quarterly_Master'!D8-SUM('01_Quarterly_Master'!D5:D7))</x:f>
        <x:v>0</x:v>
      </x:c>
      <x:c r="C5" s="42" t="n">
        <x:f>('01_Quarterly_Master'!E8-SUM('01_Quarterly_Master'!E5:E7))</x:f>
        <x:v>0</x:v>
      </x:c>
      <x:c r="D5" s="42" t="n">
        <x:f>('01_Quarterly_Master'!F8-SUM('01_Quarterly_Master'!F5:F7))</x:f>
        <x:v>-1</x:v>
      </x:c>
      <x:c r="E5" s="42" t="n">
        <x:f>('01_Quarterly_Master'!G8-SUM('01_Quarterly_Master'!G5:G7))</x:f>
        <x:v>-1</x:v>
      </x:c>
      <x:c r="F5" s="42" t="n">
        <x:f>('01_Quarterly_Master'!H8-SUM('01_Quarterly_Master'!H5:H7))</x:f>
        <x:v>1</x:v>
      </x:c>
      <x:c r="G5" s="42" t="n">
        <x:v>1</x:v>
      </x:c>
      <x:c r="H5" s="44" t="str">
        <x:f>IF(AND(ABS(B5)&lt;=G5,ABS(C5)&lt;=G5,ABS(D5)&lt;=G5,ABS(E5)&lt;=G5,ABS(F5)&lt;=G5),"OK","Review")</x:f>
        <x:v>OK</x:v>
      </x:c>
      <x:c r="I5" s="41" t="str">
        <x:v>Reported B2C NOV less sum of food, quick commerce, and going-out NOV</x:v>
      </x:c>
    </x:row>
    <x:row r="6">
      <x:c r="A6" s="41" t="str">
        <x:v>Adjusted revenue equals segment sum</x:v>
      </x:c>
      <x:c r="B6" s="42" t="n">
        <x:f>('01_Quarterly_Master'!D15-SUM('01_Quarterly_Master'!D10:D14))</x:f>
        <x:v>0</x:v>
      </x:c>
      <x:c r="C6" s="42" t="n">
        <x:f>('01_Quarterly_Master'!E15-SUM('01_Quarterly_Master'!E10:E14))</x:f>
        <x:v>0</x:v>
      </x:c>
      <x:c r="D6" s="42" t="n">
        <x:f>('01_Quarterly_Master'!F15-SUM('01_Quarterly_Master'!F10:F14))</x:f>
        <x:v>0</x:v>
      </x:c>
      <x:c r="E6" s="42" t="n">
        <x:f>('01_Quarterly_Master'!G15-SUM('01_Quarterly_Master'!G10:G14))</x:f>
        <x:v>0</x:v>
      </x:c>
      <x:c r="F6" s="42" t="n">
        <x:f>('01_Quarterly_Master'!H15-SUM('01_Quarterly_Master'!H10:H14))</x:f>
        <x:v>0</x:v>
      </x:c>
      <x:c r="G6" s="42" t="n">
        <x:v>1</x:v>
      </x:c>
      <x:c r="H6" s="44" t="str">
        <x:f>IF(AND(ABS(B6)&lt;=G6,ABS(C6)&lt;=G6,ABS(D6)&lt;=G6,ABS(E6)&lt;=G6,ABS(F6)&lt;=G6),"OK","Review")</x:f>
        <x:v>OK</x:v>
      </x:c>
      <x:c r="I6" s="41" t="str">
        <x:v>Reported adjusted revenue less segment adjusted revenue total</x:v>
      </x:c>
    </x:row>
    <x:row r="7">
      <x:c r="A7" s="41" t="str">
        <x:v>Adjusted EBITDA equals segment sum</x:v>
      </x:c>
      <x:c r="B7" s="42" t="n">
        <x:f>('01_Quarterly_Master'!D22-SUM('01_Quarterly_Master'!D17:D21))</x:f>
        <x:v>0</x:v>
      </x:c>
      <x:c r="C7" s="42" t="n">
        <x:f>('01_Quarterly_Master'!E22-SUM('01_Quarterly_Master'!E17:E21))</x:f>
        <x:v>0</x:v>
      </x:c>
      <x:c r="D7" s="42" t="n">
        <x:f>('01_Quarterly_Master'!F22-SUM('01_Quarterly_Master'!F17:F21))</x:f>
        <x:v>0</x:v>
      </x:c>
      <x:c r="E7" s="42" t="n">
        <x:f>('01_Quarterly_Master'!G22-SUM('01_Quarterly_Master'!G17:G21))</x:f>
        <x:v>0</x:v>
      </x:c>
      <x:c r="F7" s="42" t="n">
        <x:f>('01_Quarterly_Master'!H22-SUM('01_Quarterly_Master'!H17:H21))</x:f>
        <x:v>0</x:v>
      </x:c>
      <x:c r="G7" s="42" t="n">
        <x:v>1</x:v>
      </x:c>
      <x:c r="H7" s="44" t="str">
        <x:f>IF(AND(ABS(B7)&lt;=G7,ABS(C7)&lt;=G7,ABS(D7)&lt;=G7,ABS(E7)&lt;=G7,ABS(F7)&lt;=G7),"OK","Review")</x:f>
        <x:v>OK</x:v>
      </x:c>
      <x:c r="I7" s="41" t="str">
        <x:v>Reported adjusted EBITDA less segment adjusted EBITDA total</x:v>
      </x:c>
    </x:row>
    <x:row r="8">
      <x:c r="A8" s="41" t="str">
        <x:v>Adjusted revenue reconciliation</x:v>
      </x:c>
      <x:c r="B8" s="42" t="n">
        <x:f>('01_Quarterly_Master'!D69+'01_Quarterly_Master'!D70+'01_Quarterly_Master'!D71-'01_Quarterly_Master'!D72-'01_Quarterly_Master'!D73)</x:f>
        <x:v>0</x:v>
      </x:c>
      <x:c r="C8" s="42" t="n">
        <x:f>('01_Quarterly_Master'!E69+'01_Quarterly_Master'!E70+'01_Quarterly_Master'!E71-'01_Quarterly_Master'!E72-'01_Quarterly_Master'!E73)</x:f>
        <x:v>1</x:v>
      </x:c>
      <x:c r="D8" s="42" t="n">
        <x:f>('01_Quarterly_Master'!F69+'01_Quarterly_Master'!F70+'01_Quarterly_Master'!F71-'01_Quarterly_Master'!F72-'01_Quarterly_Master'!F73)</x:f>
        <x:v>0</x:v>
      </x:c>
      <x:c r="E8" s="42" t="n">
        <x:f>('01_Quarterly_Master'!G69+'01_Quarterly_Master'!G70+'01_Quarterly_Master'!G71-'01_Quarterly_Master'!G72-'01_Quarterly_Master'!G73)</x:f>
        <x:v>0</x:v>
      </x:c>
      <x:c r="F8" s="42" t="n">
        <x:f>('01_Quarterly_Master'!H69+'01_Quarterly_Master'!H70+'01_Quarterly_Master'!H71-'01_Quarterly_Master'!H72-'01_Quarterly_Master'!H73)</x:f>
        <x:v>0</x:v>
      </x:c>
      <x:c r="G8" s="42" t="n">
        <x:v>1</x:v>
      </x:c>
      <x:c r="H8" s="44" t="str">
        <x:f>IF(AND(ABS(B8)&lt;=G8,ABS(C8)&lt;=G8,ABS(D8)&lt;=G8,ABS(E8)&lt;=G8,ABS(F8)&lt;=G8),"OK","Review")</x:f>
        <x:v>OK</x:v>
      </x:c>
      <x:c r="I8" s="41" t="str">
        <x:v>Revenue from ops + delivery charges + gross platform fees - included platform fees - adjusted revenue</x:v>
      </x:c>
    </x:row>
    <x:row r="9">
      <x:c r="A9" s="41" t="str">
        <x:v>PAT bridge from adjusted EBITDA</x:v>
      </x:c>
      <x:c r="B9" s="42" t="n">
        <x:f>('01_Quarterly_Master'!D74+'01_Quarterly_Master'!D75+'01_Quarterly_Master'!D76-'01_Quarterly_Master'!D77-'01_Quarterly_Master'!D78-'01_Quarterly_Master'!D79-'01_Quarterly_Master'!D80-'01_Quarterly_Master'!D81-'01_Quarterly_Master'!D82)</x:f>
        <x:v>0</x:v>
      </x:c>
      <x:c r="C9" s="42" t="n">
        <x:f>('01_Quarterly_Master'!E74+'01_Quarterly_Master'!E75+'01_Quarterly_Master'!E76-'01_Quarterly_Master'!E77-'01_Quarterly_Master'!E78-'01_Quarterly_Master'!E79-'01_Quarterly_Master'!E80-'01_Quarterly_Master'!E81-'01_Quarterly_Master'!E82)</x:f>
        <x:v>0</x:v>
      </x:c>
      <x:c r="D9" s="42" t="n">
        <x:f>('01_Quarterly_Master'!F74+'01_Quarterly_Master'!F75+'01_Quarterly_Master'!F76-'01_Quarterly_Master'!F77-'01_Quarterly_Master'!F78-'01_Quarterly_Master'!F79-'01_Quarterly_Master'!F80-'01_Quarterly_Master'!F81-'01_Quarterly_Master'!F82)</x:f>
        <x:v>0</x:v>
      </x:c>
      <x:c r="E9" s="42" t="n">
        <x:f>('01_Quarterly_Master'!G74+'01_Quarterly_Master'!G75+'01_Quarterly_Master'!G76-'01_Quarterly_Master'!G77-'01_Quarterly_Master'!G78-'01_Quarterly_Master'!G79-'01_Quarterly_Master'!G80-'01_Quarterly_Master'!G81-'01_Quarterly_Master'!G82)</x:f>
        <x:v>0</x:v>
      </x:c>
      <x:c r="F9" s="42" t="n">
        <x:f>('01_Quarterly_Master'!H74+'01_Quarterly_Master'!H75+'01_Quarterly_Master'!H76-'01_Quarterly_Master'!H77-'01_Quarterly_Master'!H78-'01_Quarterly_Master'!H79-'01_Quarterly_Master'!H80-'01_Quarterly_Master'!H81-'01_Quarterly_Master'!H82)</x:f>
        <x:v>0</x:v>
      </x:c>
      <x:c r="G9" s="42" t="n">
        <x:v>1</x:v>
      </x:c>
      <x:c r="H9" s="44" t="str">
        <x:f>IF(AND(ABS(B9)&lt;=G9,ABS(C9)&lt;=G9,ABS(D9)&lt;=G9,ABS(E9)&lt;=G9,ABS(F9)&lt;=G9),"OK","Review")</x:f>
        <x:v>OK</x:v>
      </x:c>
      <x:c r="I9" s="41" t="str">
        <x:v>Adjusted EBITDA + other income + rent paid - D&amp;A - finance cost - ESOP - exceptional items - tax - PAT</x:v>
      </x:c>
    </x:row>
    <x:row r="10">
      <x:c r="A10" s="41" t="str">
        <x:v>Cash bridge subtotal</x:v>
      </x:c>
      <x:c r="B10" s="42" t="n">
        <x:f>('01_Quarterly_Master'!D60+'01_Quarterly_Master'!D61+'01_Quarterly_Master'!D62+'01_Quarterly_Master'!D63-'01_Quarterly_Master'!D64)</x:f>
        <x:v>0</x:v>
      </x:c>
      <x:c r="C10" s="42" t="n">
        <x:f>('01_Quarterly_Master'!E60+'01_Quarterly_Master'!E61+'01_Quarterly_Master'!E62+'01_Quarterly_Master'!E63-'01_Quarterly_Master'!E64)</x:f>
        <x:v>0</x:v>
      </x:c>
      <x:c r="D10" s="42" t="n">
        <x:f>('01_Quarterly_Master'!F60+'01_Quarterly_Master'!F61+'01_Quarterly_Master'!F62+'01_Quarterly_Master'!F63-'01_Quarterly_Master'!F64)</x:f>
        <x:v>0</x:v>
      </x:c>
      <x:c r="E10" s="42" t="n">
        <x:f>('01_Quarterly_Master'!G60+'01_Quarterly_Master'!G61+'01_Quarterly_Master'!G62+'01_Quarterly_Master'!G63-'01_Quarterly_Master'!G64)</x:f>
        <x:v>0</x:v>
      </x:c>
      <x:c r="F10" s="42" t="n">
        <x:f>('01_Quarterly_Master'!H60+'01_Quarterly_Master'!H61+'01_Quarterly_Master'!H62+'01_Quarterly_Master'!H63-'01_Quarterly_Master'!H64)</x:f>
        <x:v>0</x:v>
      </x:c>
      <x:c r="G10" s="42" t="n">
        <x:v>1</x:v>
      </x:c>
      <x:c r="H10" s="44" t="str">
        <x:f>IF(AND(ABS(B10)&lt;=G10,ABS(C10)&lt;=G10,ABS(D10)&lt;=G10,ABS(E10)&lt;=G10,ABS(F10)&lt;=G10),"OK","Review")</x:f>
        <x:v>OK</x:v>
      </x:c>
      <x:c r="I10" s="41" t="str">
        <x:v>Adjusted EBITDA + treasury income + capex + other items - cash burn/surplus</x:v>
      </x:c>
    </x:row>
    <x:row r="11">
      <x:c r="A11" s="41" t="str">
        <x:v>Cash change bridge</x:v>
      </x:c>
      <x:c r="B11" s="42" t="n">
        <x:f>('01_Quarterly_Master'!D64+'01_Quarterly_Master'!D65-'01_Quarterly_Master'!D66)</x:f>
        <x:v>0</x:v>
      </x:c>
      <x:c r="C11" s="42" t="n">
        <x:f>('01_Quarterly_Master'!E64+'01_Quarterly_Master'!E65-'01_Quarterly_Master'!E66)</x:f>
        <x:v>0</x:v>
      </x:c>
      <x:c r="D11" s="42" t="n">
        <x:f>('01_Quarterly_Master'!F64+'01_Quarterly_Master'!F65-'01_Quarterly_Master'!F66)</x:f>
        <x:v>0</x:v>
      </x:c>
      <x:c r="E11" s="42" t="n">
        <x:f>('01_Quarterly_Master'!G64+'01_Quarterly_Master'!G65-'01_Quarterly_Master'!G66)</x:f>
        <x:v>0</x:v>
      </x:c>
      <x:c r="F11" s="42" t="n">
        <x:f>('01_Quarterly_Master'!H64+'01_Quarterly_Master'!H65-'01_Quarterly_Master'!H66)</x:f>
        <x:v>0</x:v>
      </x:c>
      <x:c r="G11" s="42" t="n">
        <x:v>1</x:v>
      </x:c>
      <x:c r="H11" s="44" t="str">
        <x:f>IF(AND(ABS(B11)&lt;=G11,ABS(C11)&lt;=G11,ABS(D11)&lt;=G11,ABS(E11)&lt;=G11,ABS(F11)&lt;=G11),"OK","Review")</x:f>
        <x:v>OK</x:v>
      </x:c>
      <x:c r="I11" s="41" t="str">
        <x:v>Cash burn/surplus + NWC movement - change in cash</x:v>
      </x:c>
    </x:row>
    <x:row r="12">
      <x:c r="A12" s="41" t="str">
        <x:v>Closing cash roll-forward</x:v>
      </x:c>
      <x:c r="B12" s="42" t="n">
        <x:f>('01_Quarterly_Master'!D67+'01_Quarterly_Master'!D66-'01_Quarterly_Master'!D68)</x:f>
        <x:v>0</x:v>
      </x:c>
      <x:c r="C12" s="42" t="n">
        <x:f>('01_Quarterly_Master'!E67+'01_Quarterly_Master'!E66-'01_Quarterly_Master'!E68)</x:f>
        <x:v>0</x:v>
      </x:c>
      <x:c r="D12" s="42" t="n">
        <x:f>('01_Quarterly_Master'!F67+'01_Quarterly_Master'!F66-'01_Quarterly_Master'!F68)</x:f>
        <x:v>0</x:v>
      </x:c>
      <x:c r="E12" s="42" t="n">
        <x:f>('01_Quarterly_Master'!G67+'01_Quarterly_Master'!G66-'01_Quarterly_Master'!G68)</x:f>
        <x:v>0</x:v>
      </x:c>
      <x:c r="F12" s="42" t="n">
        <x:f>('01_Quarterly_Master'!H67+'01_Quarterly_Master'!H66-'01_Quarterly_Master'!H68)</x:f>
        <x:v>0</x:v>
      </x:c>
      <x:c r="G12" s="42" t="n">
        <x:v>1</x:v>
      </x:c>
      <x:c r="H12" s="44" t="str">
        <x:f>IF(AND(ABS(B12)&lt;=G12,ABS(C12)&lt;=G12,ABS(D12)&lt;=G12,ABS(E12)&lt;=G12,ABS(F12)&lt;=G12),"OK","Review")</x:f>
        <x:v>OK</x:v>
      </x:c>
      <x:c r="I12" s="41" t="str">
        <x:v>Opening cash + change in cash - closing cash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6" hidden="0" customWidth="1"/>
    <x:col min="4" max="4" width="14" hidden="0" customWidth="1"/>
    <x:col min="5" max="5" width="28" hidden="0" customWidth="1"/>
    <x:col min="6" max="6" width="70" hidden="0" customWidth="1"/>
  </x:cols>
  <x:sheetData>
    <x:row r="1">
      <x:c r="A1" s="3" t="str">
        <x:v>Sources Audit</x:v>
      </x:c>
    </x:row>
    <x:row r="2">
      <x:c r="A2" s="6" t="str">
        <x:v>Source IDs and extraction notes for the quarterly-only data pack.</x:v>
      </x:c>
    </x:row>
    <x:row r="4">
      <x:c r="A4" s="40" t="str">
        <x:v>Source ID</x:v>
      </x:c>
      <x:c r="B4" s="40" t="str">
        <x:v>File</x:v>
      </x:c>
      <x:c r="C4" s="40" t="str">
        <x:v>Document Type</x:v>
      </x:c>
      <x:c r="D4" s="40" t="str">
        <x:v>Period</x:v>
      </x:c>
      <x:c r="E4" s="40" t="str">
        <x:v>Confidence</x:v>
      </x:c>
      <x:c r="F4" s="40" t="str">
        <x:v>Usage Notes</x:v>
      </x:c>
    </x:row>
    <x:row r="5">
      <x:c r="A5" s="45" t="str">
        <x:v>S5</x:v>
      </x:c>
      <x:c r="B5" s="45" t="str">
        <x:v>Eternal_Q1FY26.pdf</x:v>
      </x:c>
      <x:c r="C5" s="45" t="str">
        <x:v>Quarterly results / shareholder letter</x:v>
      </x:c>
      <x:c r="D5" s="45" t="str">
        <x:v>Q1FY26</x:v>
      </x:c>
      <x:c r="E5" s="45" t="str">
        <x:v>Official quarterly filing</x:v>
      </x:c>
      <x:c r="F5" s="45" t="str">
        <x:v>Used as cross-check for Q1 FY26 values.</x:v>
      </x:c>
    </x:row>
    <x:row r="6">
      <x:c r="A6" s="45" t="str">
        <x:v>S6</x:v>
      </x:c>
      <x:c r="B6" s="45" t="str">
        <x:v>Eternal_Q2FY26.pdf</x:v>
      </x:c>
      <x:c r="C6" s="45" t="str">
        <x:v>Quarterly results / shareholder letter</x:v>
      </x:c>
      <x:c r="D6" s="45" t="str">
        <x:v>Q2FY26</x:v>
      </x:c>
      <x:c r="E6" s="45" t="str">
        <x:v>Official quarterly filing</x:v>
      </x:c>
      <x:c r="F6" s="45" t="str">
        <x:v>Used as cross-check for Q2 FY26 values.</x:v>
      </x:c>
    </x:row>
    <x:row r="7">
      <x:c r="A7" s="45" t="str">
        <x:v>S7</x:v>
      </x:c>
      <x:c r="B7" s="45" t="str">
        <x:v>Eternal_Q3FY26.pdf</x:v>
      </x:c>
      <x:c r="C7" s="45" t="str">
        <x:v>Quarterly results / shareholder letter</x:v>
      </x:c>
      <x:c r="D7" s="45" t="str">
        <x:v>Q3FY26</x:v>
      </x:c>
      <x:c r="E7" s="45" t="str">
        <x:v>Official quarterly filing</x:v>
      </x:c>
      <x:c r="F7" s="45" t="str">
        <x:v>Used as cross-check for Q3 FY26 values.</x:v>
      </x:c>
    </x:row>
    <x:row r="8">
      <x:c r="A8" s="45" t="str">
        <x:v>S8</x:v>
      </x:c>
      <x:c r="B8" s="45" t="str">
        <x:v>Eternal_Q4FY26.pdf</x:v>
      </x:c>
      <x:c r="C8" s="45" t="str">
        <x:v>Quarterly results / shareholder letter</x:v>
      </x:c>
      <x:c r="D8" s="45" t="str">
        <x:v>Q4FY26</x:v>
      </x:c>
      <x:c r="E8" s="45" t="str">
        <x:v>Official quarterly filing</x:v>
      </x:c>
      <x:c r="F8" s="45" t="str">
        <x:v>Primary source for the rolling five-quarter table used in this workbook.</x:v>
      </x:c>
    </x:row>
    <x:row r="10">
      <x:c r="A10" s="17" t="str">
        <x:v>Extraction note</x:v>
      </x:c>
      <x:c r="B10" t="str">
        <x:v>Q4 FY26 rolling tables were rendered and visually checked before entry. Q1-Q3 PDFs are retained as cross-check sources for their own quarterly releases.</x:v>
      </x:c>
      <x:c r="C10" t="str"/>
      <x:c r="D10" t="str"/>
      <x:c r="E10" t="str"/>
      <x:c r="F10" t="str"/>
    </x:row>
  </x:sheetData>
  <x:mergeCells>
    <x:mergeCell ref="A1:J1"/>
    <x:mergeCell ref="A2:J2"/>
    <x:mergeCell ref="A10:F10"/>
  </x:mergeCells>
  <x:pageMargins left="0.7" right="0.7" top="0.75" bottom="0.75" header="0.3" footer="0.3"/>
</x:worksheet>
</file>