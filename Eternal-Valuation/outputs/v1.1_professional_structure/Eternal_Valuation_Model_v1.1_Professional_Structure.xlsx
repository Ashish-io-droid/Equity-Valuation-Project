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fda359942540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Cover" sheetId="1" r:id="Rebf16ea82cb94f0e"/>
    <x:sheet xmlns:r="http://schemas.openxmlformats.org/officeDocument/2006/relationships" name="02_Dashboard" sheetId="2" r:id="Rd466055acc2b496e"/>
    <x:sheet xmlns:r="http://schemas.openxmlformats.org/officeDocument/2006/relationships" name="03_Raw_Data" sheetId="3" r:id="Rd3f27f68b11144d9"/>
    <x:sheet xmlns:r="http://schemas.openxmlformats.org/officeDocument/2006/relationships" name="04_Historical_FS" sheetId="4" r:id="R452f950b7b444d51"/>
    <x:sheet xmlns:r="http://schemas.openxmlformats.org/officeDocument/2006/relationships" name="05_Assumptions" sheetId="5" r:id="R4eb523b93dfc4e3a"/>
    <x:sheet xmlns:r="http://schemas.openxmlformats.org/officeDocument/2006/relationships" name="06_Operating_Model" sheetId="6" r:id="R9ae5f648d7f04d4e"/>
    <x:sheet xmlns:r="http://schemas.openxmlformats.org/officeDocument/2006/relationships" name="07_Statements" sheetId="7" r:id="R31124d38cc274d78"/>
    <x:sheet xmlns:r="http://schemas.openxmlformats.org/officeDocument/2006/relationships" name="08_DCF" sheetId="8" r:id="R45711b22cfbc47cf"/>
    <x:sheet xmlns:r="http://schemas.openxmlformats.org/officeDocument/2006/relationships" name="09_Trading_Comps" sheetId="9" r:id="R628145cb1eba4061"/>
    <x:sheet xmlns:r="http://schemas.openxmlformats.org/officeDocument/2006/relationships" name="10_Precedents" sheetId="10" r:id="R0a0576076b1b4248"/>
    <x:sheet xmlns:r="http://schemas.openxmlformats.org/officeDocument/2006/relationships" name="11_Football_Field" sheetId="11" r:id="Rf78cba281da64727"/>
    <x:sheet xmlns:r="http://schemas.openxmlformats.org/officeDocument/2006/relationships" name="12_Thesis" sheetId="12" r:id="Rab85b3fa432d43ce"/>
    <x:sheet xmlns:r="http://schemas.openxmlformats.org/officeDocument/2006/relationships" name="13_Checks" sheetId="13" r:id="Rcfb4f04e30774b5a"/>
    <x:sheet xmlns:r="http://schemas.openxmlformats.org/officeDocument/2006/relationships" name="14_Sources_Audit" sheetId="14" r:id="R95385ece09ce4587"/>
  </x:sheets>
</x:workbook>
</file>

<file path=xl/comments1.xml><?xml version="1.0" encoding="utf-8"?>
<x:comments xmlns:x="http://schemas.openxmlformats.org/spreadsheetml/2006/main">
  <x:authors>
    <x:author>tc={73059616-96CC-C08F-19E5-C2ADD0F17A3B}</x:author>
    <x:author>tc={380AC938-C453-AD38-9951-3D5CF4B594CF}</x:author>
    <x:author>tc={38D02875-52E3-E86D-4062-AA23F3CD9145}</x:author>
    <x:author>tc={C6EE479D-C286-21B8-7968-E7E691BEC661}</x:author>
  </x:authors>
  <x:commentList>
    <x:comment ref="B2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required: current India 10-year government bond yield as of valuation date.</x:t>
        </x:r>
      </x:text>
    </x:comment>
    <x:comment ref="B2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required: levered beta from market data provider; note if adjusted or raw.</x:t>
        </x:r>
      </x:text>
    </x:comment>
    <x:comment ref="B23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required: equity risk premium, preferably Damodaran ERP data with date/version.</x:t>
        </x:r>
      </x:text>
    </x:comment>
    <x:comment ref="B33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required: diluted share count from latest filing / exchange data.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&quot;₹&quot;0.00;[Red](&quot;₹&quot;0.00);-"/>
    <x:numFmt numFmtId="201" formatCode="0.0%;[Red](0.0%);-"/>
    <x:numFmt numFmtId="202" formatCode="0.0x;[Red](0.0x);-"/>
    <x:numFmt numFmtId="203" formatCode="&quot;₹&quot;#,##0;[Red](&quot;₹&quot;#,##0);-"/>
    <x:numFmt numFmtId="204" formatCode="yyyy-mm-dd"/>
    <x:numFmt numFmtId="205" formatCode="#,##0;[Red](#,##0);-"/>
    <x:numFmt numFmtId="206" formatCode="0.0"/>
  </x:numFmts>
  <x:fonts count="21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563C1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b/>
      <x:sz val="11"/>
      <x:color rgb="FF0000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  <x:font>
      <x:b/>
      <x:sz val="10"/>
      <x:color rgb="FF000000"/>
      <x:name val="Aptos"/>
    </x:font>
    <x:font>
      <x:sz val="10"/>
      <x:color rgb="FF0000FF"/>
      <x:name val="Aptos"/>
    </x:font>
    <x:font>
      <x:sz val="10"/>
      <x:color rgb="FF008000"/>
      <x:name val="Aptos"/>
    </x:font>
    <x:font>
      <x:sz val="10"/>
      <x:color rgb="FF000000"/>
      <x:name val="Aptos"/>
    </x:font>
    <x:font>
      <x:b/>
      <x:sz val="10"/>
      <x:color rgb="FF008000"/>
      <x:name val="Aptos"/>
    </x:font>
    <x:font>
      <x:b/>
      <x:sz val="10"/>
      <x:color rgb="FF0000FF"/>
      <x:name val="Aptos"/>
    </x:font>
    <x:font>
      <x:sz val="10"/>
      <x:color rgb="FF0563C1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7EDF6"/>
      </x:patternFill>
    </x:fill>
    <x:fill>
      <x:patternFill patternType="solid">
        <x:fgColor rgb="FFFFF2CC"/>
      </x:patternFill>
    </x:fill>
    <x:fill>
      <x:patternFill patternType="solid">
        <x:fgColor rgb="FFF4F6F8"/>
      </x:patternFill>
    </x:fill>
    <x:fill>
      <x:patternFill patternType="solid">
        <x:fgColor rgb="FFF8FAFC"/>
      </x:patternFill>
    </x:fill>
  </x:fills>
  <x:borders count="11">
    <x:border/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bottom style="double">
        <x:color rgb="FF808080"/>
      </x:bottom>
    </x:border>
  </x:borders>
  <x:cellStyleXfs count="1">
    <x:xf numFmtId="0" fontId="0" fillId="0" borderId="0"/>
  </x:cellStyleXfs>
  <x:cellXfs count="2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0" fontId="0" fillId="4" borderId="0" xfId="0" applyNumberFormat="1" applyFont="1" applyFill="1" applyBorder="1" applyAlignment="1">
      <x:alignment wrapText="0"/>
    </x:xf>
    <x:xf numFmtId="0" fontId="5" fillId="4" borderId="0" xfId="0" applyNumberFormat="1" applyFont="1" applyFill="1" applyBorder="1" applyAlignment="1">
      <x:alignment wrapText="0"/>
    </x:xf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6" fillId="0" borderId="7" xfId="0" applyNumberFormat="1" applyFont="1" applyFill="1" applyBorder="1"/>
    <x:xf numFmtId="0" fontId="6" fillId="0" borderId="9" xfId="0" applyNumberFormat="1" applyFont="1" applyFill="1" applyBorder="1"/>
    <x:xf numFmtId="0" fontId="6" fillId="0" borderId="7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201" fontId="5" fillId="4" borderId="0" xfId="0" applyNumberFormat="1" applyFont="1" applyFill="1" applyBorder="1"/>
    <x:xf numFmtId="204" fontId="5" fillId="4" borderId="0" xfId="0" applyNumberFormat="1" applyFont="1" applyFill="1" applyBorder="1"/>
    <x:xf numFmtId="0" fontId="7" fillId="0" borderId="0" xfId="0" applyNumberFormat="1" applyFont="1" applyFill="1" applyBorder="1"/>
    <x:xf numFmtId="201" fontId="7" fillId="0" borderId="0" xfId="0" applyNumberFormat="1" applyFont="1" applyFill="1" applyBorder="1"/>
    <x:xf numFmtId="203" fontId="5" fillId="4" borderId="0" xfId="0" applyNumberFormat="1" applyFont="1" applyFill="1" applyBorder="1"/>
    <x:xf numFmtId="205" fontId="5" fillId="4" borderId="0" xfId="0" applyNumberFormat="1" applyFont="1" applyFill="1" applyBorder="1"/>
    <x:xf numFmtId="200" fontId="5" fillId="4" borderId="0" xfId="0" applyNumberFormat="1" applyFont="1" applyFill="1" applyBorder="1"/>
    <x:xf numFmtId="202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205" fontId="8" fillId="0" borderId="0" xfId="0" applyNumberFormat="1" applyFont="1" applyFill="1" applyBorder="1"/>
    <x:xf numFmtId="201" fontId="8" fillId="0" borderId="0" xfId="0" applyNumberFormat="1" applyFont="1" applyFill="1" applyBorder="1"/>
    <x:xf numFmtId="205" fontId="7" fillId="0" borderId="0" xfId="0" applyNumberFormat="1" applyFont="1" applyFill="1" applyBorder="1"/>
    <x:xf numFmtId="0" fontId="0" fillId="5" borderId="0" xfId="0" applyNumberFormat="1" applyFont="1" applyFill="1" applyBorder="1"/>
    <x:xf numFmtId="205" fontId="7" fillId="5" borderId="0" xfId="0" applyNumberFormat="1" applyFont="1" applyFill="1" applyBorder="1"/>
    <x:xf numFmtId="201" fontId="7" fillId="5" borderId="0" xfId="0" applyNumberFormat="1" applyFont="1" applyFill="1" applyBorder="1"/>
    <x:xf numFmtId="0" fontId="2" fillId="5" borderId="0" xfId="0" applyNumberFormat="1" applyFont="1" applyFill="1" applyBorder="1"/>
    <x:xf numFmtId="205" fontId="4" fillId="5" borderId="0" xfId="0" applyNumberFormat="1" applyFont="1" applyFill="1" applyBorder="1"/>
    <x:xf numFmtId="201" fontId="4" fillId="5" borderId="0" xfId="0" applyNumberFormat="1" applyFont="1" applyFill="1" applyBorder="1"/>
    <x:xf numFmtId="0" fontId="2" fillId="5" borderId="10" xfId="0" applyNumberFormat="1" applyFont="1" applyFill="1" applyBorder="1"/>
    <x:xf numFmtId="201" fontId="4" fillId="5" borderId="10" xfId="0" applyNumberFormat="1" applyFont="1" applyFill="1" applyBorder="1"/>
    <x:xf numFmtId="205" fontId="4" fillId="5" borderId="10" xfId="0" applyNumberFormat="1" applyFont="1" applyFill="1" applyBorder="1"/>
    <x:xf numFmtId="205" fontId="8" fillId="5" borderId="0" xfId="0" applyNumberFormat="1" applyFont="1" applyFill="1" applyBorder="1"/>
    <x:xf numFmtId="205" fontId="9" fillId="5" borderId="0" xfId="0" applyNumberFormat="1" applyFont="1" applyFill="1" applyBorder="1"/>
    <x:xf numFmtId="205" fontId="0" fillId="0" borderId="0" xfId="0" applyNumberFormat="1" applyFont="1" applyFill="1" applyBorder="1"/>
    <x:xf numFmtId="205" fontId="0" fillId="5" borderId="0" xfId="0" applyNumberFormat="1" applyFont="1" applyFill="1" applyBorder="1"/>
    <x:xf numFmtId="205" fontId="2" fillId="5" borderId="0" xfId="0" applyNumberFormat="1" applyFont="1" applyFill="1" applyBorder="1"/>
    <x:xf numFmtId="205" fontId="2" fillId="5" borderId="10" xfId="0" applyNumberFormat="1" applyFont="1" applyFill="1" applyBorder="1"/>
    <x:xf numFmtId="205" fontId="9" fillId="5" borderId="10" xfId="0" applyNumberFormat="1" applyFont="1" applyFill="1" applyBorder="1"/>
    <x:xf numFmtId="205" fontId="3" fillId="2" borderId="0" xfId="0" applyNumberFormat="1" applyFont="1" applyFill="1" applyBorder="1" applyAlignment="1">
      <x:alignment horizontal="left"/>
    </x:xf>
    <x:xf numFmtId="205" fontId="4" fillId="3" borderId="2" xfId="0" applyNumberFormat="1" applyFont="1" applyFill="1" applyBorder="1"/>
    <x:xf numFmtId="205" fontId="4" fillId="3" borderId="3" xfId="0" applyNumberFormat="1" applyFont="1" applyFill="1" applyBorder="1"/>
    <x:xf numFmtId="205" fontId="4" fillId="2" borderId="0" xfId="0" applyNumberFormat="1" applyFont="1" applyFill="1" applyBorder="1" applyAlignment="1">
      <x:alignment horizontal="left"/>
    </x:xf>
    <x:xf numFmtId="206" fontId="0" fillId="0" borderId="0" xfId="0" applyNumberFormat="1" applyFont="1" applyFill="1" applyBorder="1"/>
    <x:xf numFmtId="203" fontId="0" fillId="5" borderId="0" xfId="0" applyNumberFormat="1" applyFont="1" applyFill="1" applyBorder="1"/>
    <x:xf numFmtId="200" fontId="0" fillId="5" borderId="0" xfId="0" applyNumberFormat="1" applyFont="1" applyFill="1" applyBorder="1"/>
    <x:xf numFmtId="203" fontId="2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5" borderId="1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10" fillId="4" borderId="2" xfId="0" applyNumberFormat="1" applyFont="1" applyFill="1" applyBorder="1"/>
    <x:xf numFmtId="0" fontId="10" fillId="4" borderId="3" xfId="0" applyNumberFormat="1" applyFont="1" applyFill="1" applyBorder="1"/>
    <x:xf numFmtId="201" fontId="10" fillId="4" borderId="2" xfId="0" applyNumberFormat="1" applyFont="1" applyFill="1" applyBorder="1"/>
    <x:xf numFmtId="201" fontId="10" fillId="4" borderId="3" xfId="0" applyNumberFormat="1" applyFont="1" applyFill="1" applyBorder="1"/>
    <x:xf numFmtId="0" fontId="7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0" xfId="0" applyNumberFormat="1" applyFont="1" applyFill="1" applyBorder="1"/>
    <x:xf numFmtId="202" fontId="7" fillId="0" borderId="0" xfId="0" applyNumberFormat="1" applyFont="1" applyFill="1" applyBorder="1"/>
    <x:xf numFmtId="202" fontId="4" fillId="5" borderId="10" xfId="0" applyNumberFormat="1" applyFont="1" applyFill="1" applyBorder="1"/>
    <x:xf numFmtId="202" fontId="0" fillId="5" borderId="0" xfId="0" applyNumberFormat="1" applyFont="1" applyFill="1" applyBorder="1"/>
    <x:xf numFmtId="202" fontId="2" fillId="5" borderId="0" xfId="0" applyNumberFormat="1" applyFont="1" applyFill="1" applyBorder="1"/>
    <x:xf numFmtId="203" fontId="2" fillId="5" borderId="10" xfId="0" applyNumberFormat="1" applyFont="1" applyFill="1" applyBorder="1"/>
    <x:xf numFmtId="202" fontId="2" fillId="5" borderId="1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left"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12" fillId="0" borderId="0" xfId="0" applyNumberFormat="1" applyFont="1" applyFill="1" applyBorder="1"/>
    <x:xf numFmtId="0" fontId="13" fillId="3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horizontal="left"/>
    </x:xf>
    <x:xf numFmtId="0" fontId="14" fillId="3" borderId="1" xfId="0" applyNumberFormat="1" applyFont="1" applyFill="1" applyBorder="1"/>
    <x:xf numFmtId="0" fontId="14" fillId="3" borderId="2" xfId="0" applyNumberFormat="1" applyFont="1" applyFill="1" applyBorder="1"/>
    <x:xf numFmtId="0" fontId="14" fillId="3" borderId="3" xfId="0" applyNumberFormat="1" applyFont="1" applyFill="1" applyBorder="1"/>
    <x:xf numFmtId="200" fontId="12" fillId="0" borderId="0" xfId="0" applyNumberFormat="1" applyFont="1" applyFill="1" applyBorder="1"/>
    <x:xf numFmtId="201" fontId="12" fillId="0" borderId="0" xfId="0" applyNumberFormat="1" applyFont="1" applyFill="1" applyBorder="1"/>
    <x:xf numFmtId="202" fontId="12" fillId="0" borderId="0" xfId="0" applyNumberFormat="1" applyFont="1" applyFill="1" applyBorder="1"/>
    <x:xf numFmtId="0" fontId="11" fillId="2" borderId="0" xfId="0" applyNumberFormat="1" applyFont="1" applyFill="1" applyBorder="1" applyAlignment="1">
      <x:alignment horizontal="left" vertical="center" wrapText="0"/>
    </x:xf>
    <x:xf numFmtId="0" fontId="12" fillId="0" borderId="0" xfId="0" applyNumberFormat="1" applyFont="1" applyFill="1" applyBorder="1" applyAlignment="1">
      <x:alignment wrapText="0"/>
    </x:xf>
    <x:xf numFmtId="0" fontId="13" fillId="3" borderId="0" xfId="0" applyNumberFormat="1" applyFont="1" applyFill="1" applyBorder="1" applyAlignment="1">
      <x:alignment wrapText="0"/>
    </x:xf>
    <x:xf numFmtId="0" fontId="11" fillId="2" borderId="0" xfId="0" applyNumberFormat="1" applyFont="1" applyFill="1" applyBorder="1" applyAlignment="1">
      <x:alignment horizontal="left" wrapText="0"/>
    </x:xf>
    <x:xf numFmtId="0" fontId="14" fillId="3" borderId="1" xfId="0" applyNumberFormat="1" applyFont="1" applyFill="1" applyBorder="1" applyAlignment="1">
      <x:alignment wrapText="0"/>
    </x:xf>
    <x:xf numFmtId="0" fontId="14" fillId="3" borderId="2" xfId="0" applyNumberFormat="1" applyFont="1" applyFill="1" applyBorder="1" applyAlignment="1">
      <x:alignment wrapText="0"/>
    </x:xf>
    <x:xf numFmtId="0" fontId="14" fillId="3" borderId="3" xfId="0" applyNumberFormat="1" applyFont="1" applyFill="1" applyBorder="1" applyAlignment="1">
      <x:alignment wrapText="0"/>
    </x:xf>
    <x:xf numFmtId="200" fontId="12" fillId="0" borderId="0" xfId="0" applyNumberFormat="1" applyFont="1" applyFill="1" applyBorder="1" applyAlignment="1">
      <x:alignment wrapText="0"/>
    </x:xf>
    <x:xf numFmtId="201" fontId="12" fillId="0" borderId="0" xfId="0" applyNumberFormat="1" applyFont="1" applyFill="1" applyBorder="1" applyAlignment="1">
      <x:alignment wrapText="0"/>
    </x:xf>
    <x:xf numFmtId="202" fontId="12" fillId="0" borderId="0" xfId="0" applyNumberFormat="1" applyFont="1" applyFill="1" applyBorder="1" applyAlignment="1">
      <x:alignment wrapText="0"/>
    </x:xf>
    <x:xf numFmtId="203" fontId="12" fillId="0" borderId="0" xfId="0" applyNumberFormat="1" applyFont="1" applyFill="1" applyBorder="1"/>
    <x:xf numFmtId="0" fontId="15" fillId="4" borderId="0" xfId="0" applyNumberFormat="1" applyFont="1" applyFill="1" applyBorder="1" applyAlignment="1">
      <x:alignment wrapText="0"/>
    </x:xf>
    <x:xf numFmtId="203" fontId="12" fillId="0" borderId="0" xfId="0" applyNumberFormat="1" applyFont="1" applyFill="1" applyBorder="1" applyAlignment="1">
      <x:alignment wrapText="0"/>
    </x:xf>
    <x:xf numFmtId="203" fontId="15" fillId="4" borderId="0" xfId="0" applyNumberFormat="1" applyFont="1" applyFill="1" applyBorder="1"/>
    <x:xf numFmtId="0" fontId="15" fillId="4" borderId="0" xfId="0" applyNumberFormat="1" applyFont="1" applyFill="1" applyBorder="1"/>
    <x:xf numFmtId="0" fontId="15" fillId="4" borderId="0" xfId="0" applyNumberFormat="1" applyFont="1" applyFill="1" applyBorder="1" applyAlignment="1">
      <x:alignment wrapText="1"/>
    </x:xf>
    <x:xf numFmtId="205" fontId="15" fillId="4" borderId="0" xfId="0" applyNumberFormat="1" applyFont="1" applyFill="1" applyBorder="1"/>
    <x:xf numFmtId="203" fontId="15" fillId="4" borderId="0" xfId="0" applyNumberFormat="1" applyFont="1" applyFill="1" applyBorder="1" applyAlignment="1">
      <x:alignment wrapText="0"/>
    </x:xf>
    <x:xf numFmtId="205" fontId="15" fillId="4" borderId="0" xfId="0" applyNumberFormat="1" applyFont="1" applyFill="1" applyBorder="1" applyAlignment="1">
      <x:alignment wrapText="0"/>
    </x:xf>
    <x:xf numFmtId="205" fontId="16" fillId="0" borderId="0" xfId="0" applyNumberFormat="1" applyFont="1" applyFill="1" applyBorder="1"/>
    <x:xf numFmtId="0" fontId="16" fillId="0" borderId="0" xfId="0" applyNumberFormat="1" applyFont="1" applyFill="1" applyBorder="1"/>
    <x:xf numFmtId="201" fontId="17" fillId="0" borderId="0" xfId="0" applyNumberFormat="1" applyFont="1" applyFill="1" applyBorder="1"/>
    <x:xf numFmtId="0" fontId="13" fillId="5" borderId="0" xfId="0" applyNumberFormat="1" applyFont="1" applyFill="1" applyBorder="1"/>
    <x:xf numFmtId="205" fontId="14" fillId="5" borderId="0" xfId="0" applyNumberFormat="1" applyFont="1" applyFill="1" applyBorder="1"/>
    <x:xf numFmtId="0" fontId="13" fillId="5" borderId="10" xfId="0" applyNumberFormat="1" applyFont="1" applyFill="1" applyBorder="1"/>
    <x:xf numFmtId="201" fontId="14" fillId="5" borderId="10" xfId="0" applyNumberFormat="1" applyFont="1" applyFill="1" applyBorder="1"/>
    <x:xf numFmtId="205" fontId="14" fillId="5" borderId="10" xfId="0" applyNumberFormat="1" applyFont="1" applyFill="1" applyBorder="1"/>
    <x:xf numFmtId="205" fontId="18" fillId="5" borderId="0" xfId="0" applyNumberFormat="1" applyFont="1" applyFill="1" applyBorder="1"/>
    <x:xf numFmtId="205" fontId="16" fillId="0" borderId="0" xfId="0" applyNumberFormat="1" applyFont="1" applyFill="1" applyBorder="1" applyAlignment="1">
      <x:alignment wrapText="0"/>
    </x:xf>
    <x:xf numFmtId="0" fontId="16" fillId="0" borderId="0" xfId="0" applyNumberFormat="1" applyFont="1" applyFill="1" applyBorder="1" applyAlignment="1">
      <x:alignment wrapText="0"/>
    </x:xf>
    <x:xf numFmtId="201" fontId="17" fillId="0" borderId="0" xfId="0" applyNumberFormat="1" applyFont="1" applyFill="1" applyBorder="1" applyAlignment="1">
      <x:alignment wrapText="0"/>
    </x:xf>
    <x:xf numFmtId="0" fontId="13" fillId="5" borderId="0" xfId="0" applyNumberFormat="1" applyFont="1" applyFill="1" applyBorder="1" applyAlignment="1">
      <x:alignment wrapText="0"/>
    </x:xf>
    <x:xf numFmtId="205" fontId="14" fillId="5" borderId="0" xfId="0" applyNumberFormat="1" applyFont="1" applyFill="1" applyBorder="1" applyAlignment="1">
      <x:alignment wrapText="0"/>
    </x:xf>
    <x:xf numFmtId="0" fontId="13" fillId="5" borderId="10" xfId="0" applyNumberFormat="1" applyFont="1" applyFill="1" applyBorder="1" applyAlignment="1">
      <x:alignment wrapText="0"/>
    </x:xf>
    <x:xf numFmtId="201" fontId="14" fillId="5" borderId="10" xfId="0" applyNumberFormat="1" applyFont="1" applyFill="1" applyBorder="1" applyAlignment="1">
      <x:alignment wrapText="0"/>
    </x:xf>
    <x:xf numFmtId="205" fontId="14" fillId="5" borderId="10" xfId="0" applyNumberFormat="1" applyFont="1" applyFill="1" applyBorder="1" applyAlignment="1">
      <x:alignment wrapText="0"/>
    </x:xf>
    <x:xf numFmtId="205" fontId="18" fillId="5" borderId="0" xfId="0" applyNumberFormat="1" applyFont="1" applyFill="1" applyBorder="1" applyAlignment="1">
      <x:alignment wrapText="0"/>
    </x:xf>
    <x:xf numFmtId="201" fontId="15" fillId="4" borderId="0" xfId="0" applyNumberFormat="1" applyFont="1" applyFill="1" applyBorder="1"/>
    <x:xf numFmtId="204" fontId="15" fillId="4" borderId="0" xfId="0" applyNumberFormat="1" applyFont="1" applyFill="1" applyBorder="1"/>
    <x:xf numFmtId="202" fontId="15" fillId="4" borderId="0" xfId="0" applyNumberFormat="1" applyFont="1" applyFill="1" applyBorder="1"/>
    <x:xf numFmtId="200" fontId="15" fillId="4" borderId="0" xfId="0" applyNumberFormat="1" applyFont="1" applyFill="1" applyBorder="1"/>
    <x:xf numFmtId="201" fontId="15" fillId="4" borderId="0" xfId="0" applyNumberFormat="1" applyFont="1" applyFill="1" applyBorder="1" applyAlignment="1">
      <x:alignment wrapText="0"/>
    </x:xf>
    <x:xf numFmtId="204" fontId="15" fillId="4" borderId="0" xfId="0" applyNumberFormat="1" applyFont="1" applyFill="1" applyBorder="1" applyAlignment="1">
      <x:alignment wrapText="0"/>
    </x:xf>
    <x:xf numFmtId="202" fontId="15" fillId="4" borderId="0" xfId="0" applyNumberFormat="1" applyFont="1" applyFill="1" applyBorder="1" applyAlignment="1">
      <x:alignment wrapText="0"/>
    </x:xf>
    <x:xf numFmtId="200" fontId="15" fillId="4" borderId="0" xfId="0" applyNumberFormat="1" applyFont="1" applyFill="1" applyBorder="1" applyAlignment="1">
      <x:alignment wrapText="0"/>
    </x:xf>
    <x:xf numFmtId="205" fontId="17" fillId="0" borderId="0" xfId="0" applyNumberFormat="1" applyFont="1" applyFill="1" applyBorder="1"/>
    <x:xf numFmtId="201" fontId="16" fillId="0" borderId="0" xfId="0" applyNumberFormat="1" applyFont="1" applyFill="1" applyBorder="1"/>
    <x:xf numFmtId="205" fontId="18" fillId="5" borderId="10" xfId="0" applyNumberFormat="1" applyFont="1" applyFill="1" applyBorder="1"/>
    <x:xf numFmtId="205" fontId="17" fillId="0" borderId="0" xfId="0" applyNumberFormat="1" applyFont="1" applyFill="1" applyBorder="1" applyAlignment="1">
      <x:alignment wrapText="0"/>
    </x:xf>
    <x:xf numFmtId="201" fontId="16" fillId="0" borderId="0" xfId="0" applyNumberFormat="1" applyFont="1" applyFill="1" applyBorder="1" applyAlignment="1">
      <x:alignment wrapText="0"/>
    </x:xf>
    <x:xf numFmtId="205" fontId="18" fillId="5" borderId="10" xfId="0" applyNumberFormat="1" applyFont="1" applyFill="1" applyBorder="1" applyAlignment="1">
      <x:alignment wrapText="0"/>
    </x:xf>
    <x:xf numFmtId="205" fontId="14" fillId="2" borderId="0" xfId="0" applyNumberFormat="1" applyFont="1" applyFill="1" applyBorder="1" applyAlignment="1">
      <x:alignment horizontal="left"/>
    </x:xf>
    <x:xf numFmtId="205" fontId="14" fillId="3" borderId="2" xfId="0" applyNumberFormat="1" applyFont="1" applyFill="1" applyBorder="1"/>
    <x:xf numFmtId="205" fontId="14" fillId="3" borderId="3" xfId="0" applyNumberFormat="1" applyFont="1" applyFill="1" applyBorder="1"/>
    <x:xf numFmtId="205" fontId="14" fillId="2" borderId="0" xfId="0" applyNumberFormat="1" applyFont="1" applyFill="1" applyBorder="1" applyAlignment="1">
      <x:alignment horizontal="left" wrapText="0"/>
    </x:xf>
    <x:xf numFmtId="205" fontId="14" fillId="3" borderId="2" xfId="0" applyNumberFormat="1" applyFont="1" applyFill="1" applyBorder="1" applyAlignment="1">
      <x:alignment wrapText="0"/>
    </x:xf>
    <x:xf numFmtId="205" fontId="14" fillId="3" borderId="3" xfId="0" applyNumberFormat="1" applyFont="1" applyFill="1" applyBorder="1" applyAlignment="1">
      <x:alignment wrapText="0"/>
    </x:xf>
    <x:xf numFmtId="205" fontId="12" fillId="0" borderId="0" xfId="0" applyNumberFormat="1" applyFont="1" applyFill="1" applyBorder="1"/>
    <x:xf numFmtId="205" fontId="13" fillId="5" borderId="10" xfId="0" applyNumberFormat="1" applyFont="1" applyFill="1" applyBorder="1"/>
    <x:xf numFmtId="206" fontId="12" fillId="0" borderId="0" xfId="0" applyNumberFormat="1" applyFont="1" applyFill="1" applyBorder="1"/>
    <x:xf numFmtId="203" fontId="13" fillId="5" borderId="0" xfId="0" applyNumberFormat="1" applyFont="1" applyFill="1" applyBorder="1"/>
    <x:xf numFmtId="200" fontId="13" fillId="5" borderId="0" xfId="0" applyNumberFormat="1" applyFont="1" applyFill="1" applyBorder="1"/>
    <x:xf numFmtId="200" fontId="13" fillId="5" borderId="10" xfId="0" applyNumberFormat="1" applyFont="1" applyFill="1" applyBorder="1"/>
    <x:xf numFmtId="201" fontId="19" fillId="4" borderId="2" xfId="0" applyNumberFormat="1" applyFont="1" applyFill="1" applyBorder="1"/>
    <x:xf numFmtId="201" fontId="19" fillId="4" borderId="3" xfId="0" applyNumberFormat="1" applyFont="1" applyFill="1" applyBorder="1"/>
    <x:xf numFmtId="205" fontId="12" fillId="0" borderId="0" xfId="0" applyNumberFormat="1" applyFont="1" applyFill="1" applyBorder="1" applyAlignment="1">
      <x:alignment wrapText="0"/>
    </x:xf>
    <x:xf numFmtId="205" fontId="13" fillId="5" borderId="10" xfId="0" applyNumberFormat="1" applyFont="1" applyFill="1" applyBorder="1" applyAlignment="1">
      <x:alignment wrapText="0"/>
    </x:xf>
    <x:xf numFmtId="206" fontId="12" fillId="0" borderId="0" xfId="0" applyNumberFormat="1" applyFont="1" applyFill="1" applyBorder="1" applyAlignment="1">
      <x:alignment wrapText="0"/>
    </x:xf>
    <x:xf numFmtId="203" fontId="13" fillId="5" borderId="0" xfId="0" applyNumberFormat="1" applyFont="1" applyFill="1" applyBorder="1" applyAlignment="1">
      <x:alignment wrapText="0"/>
    </x:xf>
    <x:xf numFmtId="200" fontId="13" fillId="5" borderId="0" xfId="0" applyNumberFormat="1" applyFont="1" applyFill="1" applyBorder="1" applyAlignment="1">
      <x:alignment wrapText="0"/>
    </x:xf>
    <x:xf numFmtId="200" fontId="13" fillId="5" borderId="10" xfId="0" applyNumberFormat="1" applyFont="1" applyFill="1" applyBorder="1" applyAlignment="1">
      <x:alignment wrapText="0"/>
    </x:xf>
    <x:xf numFmtId="201" fontId="19" fillId="4" borderId="2" xfId="0" applyNumberFormat="1" applyFont="1" applyFill="1" applyBorder="1" applyAlignment="1">
      <x:alignment wrapText="0"/>
    </x:xf>
    <x:xf numFmtId="201" fontId="19" fillId="4" borderId="3" xfId="0" applyNumberFormat="1" applyFont="1" applyFill="1" applyBorder="1" applyAlignment="1">
      <x:alignment wrapText="0"/>
    </x:xf>
    <x:xf numFmtId="202" fontId="17" fillId="0" borderId="0" xfId="0" applyNumberFormat="1" applyFont="1" applyFill="1" applyBorder="1"/>
    <x:xf numFmtId="202" fontId="14" fillId="5" borderId="10" xfId="0" applyNumberFormat="1" applyFont="1" applyFill="1" applyBorder="1"/>
    <x:xf numFmtId="203" fontId="13" fillId="5" borderId="10" xfId="0" applyNumberFormat="1" applyFont="1" applyFill="1" applyBorder="1"/>
    <x:xf numFmtId="202" fontId="13" fillId="5" borderId="10" xfId="0" applyNumberFormat="1" applyFont="1" applyFill="1" applyBorder="1"/>
    <x:xf numFmtId="202" fontId="17" fillId="0" borderId="0" xfId="0" applyNumberFormat="1" applyFont="1" applyFill="1" applyBorder="1" applyAlignment="1">
      <x:alignment wrapText="0"/>
    </x:xf>
    <x:xf numFmtId="202" fontId="14" fillId="5" borderId="10" xfId="0" applyNumberFormat="1" applyFont="1" applyFill="1" applyBorder="1" applyAlignment="1">
      <x:alignment wrapText="0"/>
    </x:xf>
    <x:xf numFmtId="203" fontId="13" fillId="5" borderId="10" xfId="0" applyNumberFormat="1" applyFont="1" applyFill="1" applyBorder="1" applyAlignment="1">
      <x:alignment wrapText="0"/>
    </x:xf>
    <x:xf numFmtId="202" fontId="13" fillId="5" borderId="10" xfId="0" applyNumberFormat="1" applyFont="1" applyFill="1" applyBorder="1" applyAlignment="1">
      <x:alignment wrapText="0"/>
    </x:xf>
    <x:xf numFmtId="0" fontId="12" fillId="6" borderId="0" xfId="0" applyNumberFormat="1" applyFont="1" applyFill="1" applyBorder="1" applyAlignment="1">
      <x:alignment vertical="top" wrapText="1"/>
    </x:xf>
    <x:xf numFmtId="0" fontId="12" fillId="6" borderId="0" xfId="0" applyNumberFormat="1" applyFont="1" applyFill="1" applyBorder="1" applyAlignment="1">
      <x:alignment vertical="top" wrapText="0"/>
    </x:xf>
    <x:xf numFmtId="0" fontId="11" fillId="2" borderId="0" xfId="0" applyNumberFormat="1" applyFont="1" applyFill="1" applyBorder="1" applyAlignment="1">
      <x:alignment horizontal="left" wrapText="1"/>
    </x:xf>
    <x:xf numFmtId="0" fontId="14" fillId="3" borderId="4" xfId="0" applyNumberFormat="1" applyFont="1" applyFill="1" applyBorder="1"/>
    <x:xf numFmtId="0" fontId="14" fillId="3" borderId="5" xfId="0" applyNumberFormat="1" applyFont="1" applyFill="1" applyBorder="1"/>
    <x:xf numFmtId="0" fontId="12" fillId="0" borderId="6" xfId="0" applyNumberFormat="1" applyFont="1" applyFill="1" applyBorder="1"/>
    <x:xf numFmtId="0" fontId="12" fillId="0" borderId="7" xfId="0" applyNumberFormat="1" applyFont="1" applyFill="1" applyBorder="1"/>
    <x:xf numFmtId="0" fontId="20" fillId="0" borderId="7" xfId="0" applyNumberFormat="1" applyFont="1" applyFill="1" applyBorder="1" applyAlignment="1">
      <x:alignment wrapText="1"/>
    </x:xf>
    <x:xf numFmtId="0" fontId="12" fillId="0" borderId="7" xfId="0" applyNumberFormat="1" applyFont="1" applyFill="1" applyBorder="1" applyAlignment="1">
      <x:alignment wrapText="1"/>
    </x:xf>
    <x:xf numFmtId="0" fontId="12" fillId="0" borderId="8" xfId="0" applyNumberFormat="1" applyFont="1" applyFill="1" applyBorder="1"/>
    <x:xf numFmtId="0" fontId="12" fillId="0" borderId="9" xfId="0" applyNumberFormat="1" applyFont="1" applyFill="1" applyBorder="1"/>
    <x:xf numFmtId="0" fontId="20" fillId="0" borderId="9" xfId="0" applyNumberFormat="1" applyFont="1" applyFill="1" applyBorder="1" applyAlignment="1">
      <x:alignment wrapText="1"/>
    </x:xf>
    <x:xf numFmtId="0" fontId="12" fillId="0" borderId="9" xfId="0" applyNumberFormat="1" applyFont="1" applyFill="1" applyBorder="1" applyAlignment="1">
      <x:alignment wrapText="1"/>
    </x:xf>
    <x:xf numFmtId="0" fontId="14" fillId="3" borderId="4" xfId="0" applyNumberFormat="1" applyFont="1" applyFill="1" applyBorder="1" applyAlignment="1">
      <x:alignment wrapText="0"/>
    </x:xf>
    <x:xf numFmtId="0" fontId="14" fillId="3" borderId="5" xfId="0" applyNumberFormat="1" applyFont="1" applyFill="1" applyBorder="1" applyAlignment="1">
      <x:alignment wrapText="0"/>
    </x:xf>
    <x:xf numFmtId="0" fontId="12" fillId="0" borderId="6" xfId="0" applyNumberFormat="1" applyFont="1" applyFill="1" applyBorder="1" applyAlignment="1">
      <x:alignment wrapText="0"/>
    </x:xf>
    <x:xf numFmtId="0" fontId="12" fillId="0" borderId="7" xfId="0" applyNumberFormat="1" applyFont="1" applyFill="1" applyBorder="1" applyAlignment="1">
      <x:alignment wrapText="0"/>
    </x:xf>
    <x:xf numFmtId="0" fontId="20" fillId="0" borderId="7" xfId="0" applyNumberFormat="1" applyFont="1" applyFill="1" applyBorder="1" applyAlignment="1">
      <x:alignment wrapText="0"/>
    </x:xf>
    <x:xf numFmtId="0" fontId="12" fillId="0" borderId="8" xfId="0" applyNumberFormat="1" applyFont="1" applyFill="1" applyBorder="1" applyAlignment="1">
      <x:alignment wrapText="0"/>
    </x:xf>
    <x:xf numFmtId="0" fontId="12" fillId="0" borderId="9" xfId="0" applyNumberFormat="1" applyFont="1" applyFill="1" applyBorder="1" applyAlignment="1">
      <x:alignment wrapText="0"/>
    </x:xf>
    <x:xf numFmtId="0" fontId="20" fillId="0" borderId="9" xfId="0" applyNumberFormat="1" applyFont="1" applyFill="1" applyBorder="1" applyAlignment="1">
      <x:alignment wrapText="0"/>
    </x:xf>
    <x:xf numFmtId="0" fontId="13" fillId="5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7654ea7ae344c0" /><Relationship Type="http://schemas.openxmlformats.org/officeDocument/2006/relationships/theme" Target="/xl/theme/theme1.xml" Id="Rea8f53497b8c4d63" /><Relationship Type="http://schemas.openxmlformats.org/officeDocument/2006/relationships/sharedStrings" Target="/xl/sharedStrings.xml" Id="R1ad75c4da5694a20" /><Relationship Type="http://schemas.openxmlformats.org/officeDocument/2006/relationships/worksheet" Target="/xl/worksheets/sheet1.xml" Id="Rebf16ea82cb94f0e" /><Relationship Type="http://schemas.openxmlformats.org/officeDocument/2006/relationships/worksheet" Target="/xl/worksheets/sheet2.xml" Id="Rd466055acc2b496e" /><Relationship Type="http://schemas.openxmlformats.org/officeDocument/2006/relationships/worksheet" Target="/xl/worksheets/sheet3.xml" Id="Rd3f27f68b11144d9" /><Relationship Type="http://schemas.openxmlformats.org/officeDocument/2006/relationships/worksheet" Target="/xl/worksheets/sheet4.xml" Id="R452f950b7b444d51" /><Relationship Type="http://schemas.openxmlformats.org/officeDocument/2006/relationships/worksheet" Target="/xl/worksheets/sheet5.xml" Id="R4eb523b93dfc4e3a" /><Relationship Type="http://schemas.openxmlformats.org/officeDocument/2006/relationships/worksheet" Target="/xl/worksheets/sheet6.xml" Id="R9ae5f648d7f04d4e" /><Relationship Type="http://schemas.openxmlformats.org/officeDocument/2006/relationships/worksheet" Target="/xl/worksheets/sheet7.xml" Id="R31124d38cc274d78" /><Relationship Type="http://schemas.openxmlformats.org/officeDocument/2006/relationships/worksheet" Target="/xl/worksheets/sheet8.xml" Id="R45711b22cfbc47cf" /><Relationship Type="http://schemas.openxmlformats.org/officeDocument/2006/relationships/worksheet" Target="/xl/worksheets/sheet9.xml" Id="R628145cb1eba4061" /><Relationship Type="http://schemas.openxmlformats.org/officeDocument/2006/relationships/worksheet" Target="/xl/worksheets/sheet10.xml" Id="R0a0576076b1b4248" /><Relationship Type="http://schemas.openxmlformats.org/officeDocument/2006/relationships/worksheet" Target="/xl/worksheets/sheet11.xml" Id="Rf78cba281da64727" /><Relationship Type="http://schemas.openxmlformats.org/officeDocument/2006/relationships/worksheet" Target="/xl/worksheets/sheet12.xml" Id="Rab85b3fa432d43ce" /><Relationship Type="http://schemas.openxmlformats.org/officeDocument/2006/relationships/worksheet" Target="/xl/worksheets/sheet13.xml" Id="Rcfb4f04e30774b5a" /><Relationship Type="http://schemas.openxmlformats.org/officeDocument/2006/relationships/worksheet" Target="/xl/worksheets/sheet14.xml" Id="R95385ece09ce4587" /><Relationship Type="http://schemas.microsoft.com/office/2017/10/relationships/person" Target="/xl/persons/person.xml" Id="R3acf36492c094a0f" /></Relationships>
</file>

<file path=xl/persons/person.xml><?xml version="1.0" encoding="utf-8"?>
<xltc:personList xmlns:xltc="http://schemas.microsoft.com/office/spreadsheetml/2018/threadedcomments">
  <xltc:person displayName="User" id="{BC9F0397-F4C5-4193-9E63-189C1953031C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21" dT="2026-06-30T23:34:00.445" personId="{BC9F0397-F4C5-4193-9E63-189C1953031C}" id="{73059616-96CC-C08F-19E5-C2ADD0F17A3B}">
    <xltc:text>Source required: current India 10-year government bond yield as of valuation date.</xltc:text>
  </xltc:threadedComment>
  <xltc:threadedComment ref="B22" dT="2026-06-30T23:34:00.446" personId="{BC9F0397-F4C5-4193-9E63-189C1953031C}" id="{380AC938-C453-AD38-9951-3D5CF4B594CF}">
    <xltc:text>Source required: levered beta from market data provider; note if adjusted or raw.</xltc:text>
  </xltc:threadedComment>
  <xltc:threadedComment ref="B23" dT="2026-06-30T23:34:00.446" personId="{BC9F0397-F4C5-4193-9E63-189C1953031C}" id="{38D02875-52E3-E86D-4062-AA23F3CD9145}">
    <xltc:text>Source required: equity risk premium, preferably Damodaran ERP data with date/version.</xltc:text>
  </xltc:threadedComment>
  <xltc:threadedComment ref="B33" dT="2026-06-30T23:34:00.446" personId="{BC9F0397-F4C5-4193-9E63-189C1953031C}" id="{C6EE479D-C286-21B8-7968-E7E691BEC661}">
    <xltc:text>Source required: diluted share count from latest filing / exchange data.</xltc:text>
  </xltc:threadedComment>
</xltc:ThreadedComment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1.xml" Id="Re337929680424a6e" /><Relationship Type="http://schemas.openxmlformats.org/officeDocument/2006/relationships/vmlDrawing" Target="/xl/drawings/vmldrawing.vml" Id="R0af547cbb5f54dda" /><Relationship Type="http://schemas.microsoft.com/office/2017/10/relationships/threadedComment" Target="/xl/threadedcomments/threadedcomment.xml" Id="R9d3484e82ec540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4" hidden="0" customWidth="1"/>
    <x:col min="4" max="4" width="22" hidden="0" customWidth="1"/>
    <x:col min="5" max="5" width="18" hidden="0" customWidth="1"/>
    <x:col min="6" max="6" width="18" hidden="0" customWidth="1"/>
    <x:col min="7" max="7" width="4" hidden="0" customWidth="1"/>
    <x:col min="8" max="8" width="22" hidden="0" customWidth="1"/>
    <x:col min="9" max="9" width="18" hidden="0" customWidth="1"/>
  </x:cols>
  <x:sheetData>
    <x:row r="1">
      <x:c r="A1" s="104" t="str">
        <x:v>Eternal Limited Equity Valuation Model</x:v>
      </x:c>
      <x:c r="B1" s="104" t="str">
        <x:v>Eternal Limited Equity Valuation Model</x:v>
      </x:c>
      <x:c r="C1" s="104" t="str">
        <x:v>Eternal Limited Equity Valuation Model</x:v>
      </x:c>
      <x:c r="D1" s="104" t="str">
        <x:v>Eternal Limited Equity Valuation Model</x:v>
      </x:c>
      <x:c r="E1" s="104" t="str">
        <x:v>Eternal Limited Equity Valuation Model</x:v>
      </x:c>
      <x:c r="F1" s="104" t="str">
        <x:v>Eternal Limited Equity Valuation Model</x:v>
      </x:c>
      <x:c r="G1" s="104" t="str">
        <x:v>Eternal Limited Equity Valuation Model</x:v>
      </x:c>
      <x:c r="H1" s="104" t="str">
        <x:v>Eternal Limited Equity Valuation Model</x:v>
      </x:c>
      <x:c r="I1" s="104" t="str">
        <x:v>Eternal Limited Equity Valuation Model</x:v>
      </x:c>
    </x:row>
    <x:row r="2">
      <x:c r="A2" s="105"/>
      <x:c r="B2" s="105"/>
      <x:c r="C2" s="105"/>
      <x:c r="D2" s="105"/>
      <x:c r="E2" s="105"/>
      <x:c r="F2" s="105"/>
      <x:c r="G2" s="105"/>
      <x:c r="H2" s="105"/>
      <x:c r="I2" s="105"/>
    </x:row>
    <x:row r="3">
      <x:c r="A3" s="106" t="str">
        <x:v>Company</x:v>
      </x:c>
      <x:c r="B3" s="96" t="str">
        <x:v>Eternal Limited (formerly Zomato)</x:v>
      </x:c>
      <x:c r="C3" s="105"/>
      <x:c r="D3" s="107" t="str">
        <x:v>Key Outputs</x:v>
      </x:c>
      <x:c r="E3" s="107" t="str">
        <x:v>Key Outputs</x:v>
      </x:c>
      <x:c r="F3" s="107" t="str">
        <x:v>Key Outputs</x:v>
      </x:c>
      <x:c r="G3" s="107" t="str">
        <x:v>Key Outputs</x:v>
      </x:c>
      <x:c r="H3" s="107" t="str">
        <x:v>Key Outputs</x:v>
      </x:c>
      <x:c r="I3" s="107" t="str">
        <x:v>Key Outputs</x:v>
      </x:c>
    </x:row>
    <x:row r="4">
      <x:c r="A4" s="106" t="str">
        <x:v>Project</x:v>
      </x:c>
      <x:c r="B4" s="96" t="str">
        <x:v>Full equity valuation model: 3-statement shell + DCF + comps + precedents</x:v>
      </x:c>
      <x:c r="C4" s="105"/>
      <x:c r="D4" s="108" t="str">
        <x:v>Metric</x:v>
      </x:c>
      <x:c r="E4" s="109" t="str">
        <x:v>Value</x:v>
      </x:c>
      <x:c r="F4" s="109" t="str">
        <x:v>Source</x:v>
      </x:c>
      <x:c r="G4" s="109" t="str"/>
      <x:c r="H4" s="109" t="str">
        <x:v>Metric</x:v>
      </x:c>
      <x:c r="I4" s="110" t="str">
        <x:v>Value</x:v>
      </x:c>
    </x:row>
    <x:row r="5">
      <x:c r="A5" s="106" t="str">
        <x:v>Primary use</x:v>
      </x:c>
      <x:c r="B5" s="96" t="str">
        <x:v>JPMC / investment banking interview project</x:v>
      </x:c>
      <x:c r="C5" s="105"/>
      <x:c r="D5" s="105" t="str">
        <x:v>Model status</x:v>
      </x:c>
      <x:c r="E5" s="105" t="str">
        <x:f>'13_Checks'!F14</x:f>
        <x:v>Phase 1.1 - needs source inputs</x:v>
      </x:c>
      <x:c r="F5" s="105" t="str">
        <x:v>Checks</x:v>
      </x:c>
      <x:c r="G5" s="105" t="str"/>
      <x:c r="H5" s="105" t="str">
        <x:v>DCF target price</x:v>
      </x:c>
      <x:c r="I5" s="105"/>
    </x:row>
    <x:row r="6">
      <x:c r="A6" s="106" t="str">
        <x:v>Currency / units</x:v>
      </x:c>
      <x:c r="B6" s="96" t="str">
        <x:v>INR crores unless stated otherwise</x:v>
      </x:c>
      <x:c r="C6" s="105"/>
      <x:c r="D6" s="105" t="str">
        <x:v>DCF value / share</x:v>
      </x:c>
      <x:c r="E6" s="111" t="n">
        <x:f>'08_DCF'!D29</x:f>
        <x:v>0</x:v>
      </x:c>
      <x:c r="F6" s="111" t="str">
        <x:v>DCF</x:v>
      </x:c>
      <x:c r="G6" s="111" t="str"/>
      <x:c r="H6" s="111" t="str">
        <x:v>Comps value / share</x:v>
      </x:c>
      <x:c r="I6" s="111" t="n">
        <x:f>'09_Trading_Comps'!H18</x:f>
        <x:v>0</x:v>
      </x:c>
    </x:row>
    <x:row r="7">
      <x:c r="A7" s="106" t="str">
        <x:v>Historical period</x:v>
      </x:c>
      <x:c r="B7" s="96" t="str">
        <x:v>FY22A-FY26A input-ready</x:v>
      </x:c>
      <x:c r="C7" s="105"/>
      <x:c r="D7" s="105" t="str">
        <x:v>Precedents value / share</x:v>
      </x:c>
      <x:c r="E7" s="111" t="n">
        <x:f>AVERAGE('10_Precedents'!G14:G15)</x:f>
        <x:v>0</x:v>
      </x:c>
      <x:c r="F7" s="111" t="str">
        <x:v>Precedents</x:v>
      </x:c>
      <x:c r="G7" s="111" t="str"/>
      <x:c r="H7" s="111" t="str">
        <x:v>Football field low</x:v>
      </x:c>
      <x:c r="I7" s="111" t="n">
        <x:f>'11_Football_Field'!B8</x:f>
        <x:v>0</x:v>
      </x:c>
    </x:row>
    <x:row r="8">
      <x:c r="A8" s="106" t="str">
        <x:v>Forecast period</x:v>
      </x:c>
      <x:c r="B8" s="96" t="str">
        <x:v>FY27E-FY31E</x:v>
      </x:c>
      <x:c r="C8" s="105"/>
      <x:c r="D8" s="105" t="str">
        <x:v>Football field high</x:v>
      </x:c>
      <x:c r="E8" s="111" t="n">
        <x:f>'11_Football_Field'!D8</x:f>
        <x:v>0</x:v>
      </x:c>
      <x:c r="F8" s="111" t="str">
        <x:v>Football Field</x:v>
      </x:c>
      <x:c r="G8" s="111" t="str"/>
      <x:c r="H8" s="111" t="str">
        <x:v>Recommendation</x:v>
      </x:c>
      <x:c r="I8" s="111" t="str">
        <x:f>'12_Thesis'!B10</x:f>
        <x:v>Hold</x:v>
      </x:c>
    </x:row>
    <x:row r="9">
      <x:c r="A9" s="106" t="str">
        <x:v>Valuation date</x:v>
      </x:c>
      <x:c r="B9" s="96" t="str">
        <x:v>2026-07-01</x:v>
      </x:c>
      <x:c r="C9" s="105"/>
      <x:c r="D9" s="105" t="str">
        <x:v>WACC</x:v>
      </x:c>
      <x:c r="E9" s="112" t="n">
        <x:f>'05_Assumptions'!B31</x:f>
        <x:v>0.1314375</x:v>
      </x:c>
      <x:c r="F9" s="112" t="str">
        <x:v>Assumptions</x:v>
      </x:c>
      <x:c r="G9" s="112" t="str"/>
      <x:c r="H9" s="112" t="str">
        <x:v>Terminal growth</x:v>
      </x:c>
      <x:c r="I9" s="112" t="n">
        <x:f>'05_Assumptions'!B35</x:f>
        <x:v>0.04</x:v>
      </x:c>
    </x:row>
    <x:row r="10">
      <x:c r="A10" s="106" t="str">
        <x:v>Current phase</x:v>
      </x:c>
      <x:c r="B10" s="96" t="str">
        <x:v>Phase 1.1: professional structure upgrade</x:v>
      </x:c>
      <x:c r="C10" s="105"/>
      <x:c r="D10" s="105" t="str">
        <x:v>Exit multiple</x:v>
      </x:c>
      <x:c r="E10" s="113" t="n">
        <x:f>'05_Assumptions'!B36</x:f>
        <x:v>25</x:v>
      </x:c>
      <x:c r="F10" s="105" t="str">
        <x:v>Assumptions</x:v>
      </x:c>
      <x:c r="G10" s="105" t="str"/>
      <x:c r="H10" s="105" t="str">
        <x:v>Scenario</x:v>
      </x:c>
      <x:c r="I10" s="105" t="str">
        <x:v>Base case</x:v>
      </x:c>
    </x:row>
    <x:row r="11">
      <x:c r="A11" s="106" t="str">
        <x:v>Chosen case</x:v>
      </x:c>
      <x:c r="B11" s="96" t="str">
        <x:v>Eternal was selected over a bank because the target artifact requires DCF, EV multiples, and a football field.</x:v>
      </x:c>
      <x:c r="C11" s="105"/>
      <x:c r="D11" s="105"/>
      <x:c r="E11" s="105"/>
      <x:c r="F11" s="105"/>
      <x:c r="G11" s="105"/>
      <x:c r="H11" s="105"/>
      <x:c r="I11" s="105"/>
    </x:row>
    <x:row r="12">
      <x:c r="A12" s="106" t="str">
        <x:v>Next milestone</x:v>
      </x:c>
      <x:c r="B12" s="96" t="str">
        <x:v>Populate Raw_Data with FY22-FY26 actuals from annual reports/results and lock source comments.</x:v>
      </x:c>
      <x:c r="C12" s="105"/>
      <x:c r="D12" s="105"/>
      <x:c r="E12" s="105"/>
      <x:c r="F12" s="105"/>
      <x:c r="G12" s="105"/>
      <x:c r="H12" s="105"/>
      <x:c r="I12" s="105"/>
    </x:row>
    <x:row r="13">
      <x:c r="A13" s="105"/>
      <x:c r="B13" s="96"/>
      <x:c r="C13" s="105"/>
      <x:c r="D13" s="105"/>
      <x:c r="E13" s="105"/>
      <x:c r="F13" s="105"/>
      <x:c r="G13" s="105"/>
      <x:c r="H13" s="105"/>
      <x:c r="I13" s="105"/>
    </x:row>
    <x:row r="14">
      <x:c r="A14" s="105"/>
      <x:c r="B14" s="96"/>
      <x:c r="C14" s="105"/>
      <x:c r="D14" s="105"/>
      <x:c r="E14" s="105"/>
      <x:c r="F14" s="105"/>
      <x:c r="G14" s="105"/>
      <x:c r="H14" s="105"/>
      <x:c r="I14" s="105"/>
    </x:row>
    <x:row r="15">
      <x:c r="A15" s="106" t="str">
        <x:v>Color convention</x:v>
      </x:c>
      <x:c r="B15" s="96" t="str">
        <x:v>Blue text / yellow fill = editable assumption; black = formula; green = linked worksheet reference</x:v>
      </x:c>
      <x:c r="C15" s="105" t="str"/>
      <x:c r="D15" s="105" t="str"/>
      <x:c r="E15" s="105" t="str"/>
      <x:c r="F15" s="105" t="str"/>
      <x:c r="G15" s="105" t="str"/>
      <x:c r="H15" s="105" t="str"/>
      <x:c r="I15" s="105" t="str"/>
    </x:row>
    <x:row r="16">
      <x:c r="A16" s="106" t="str">
        <x:v>Implementation note</x:v>
      </x:c>
      <x:c r="B16" s="96" t="str">
        <x:v>This workbook is intentionally source-first. It computes cleanly now, and it is ready for filing-backed values to be entered without changing formulas.</x:v>
      </x:c>
      <x:c r="C16" s="105" t="str"/>
      <x:c r="D16" s="105" t="str"/>
      <x:c r="E16" s="105" t="str"/>
      <x:c r="F16" s="105" t="str"/>
      <x:c r="G16" s="105" t="str"/>
      <x:c r="H16" s="105" t="str"/>
      <x:c r="I16" s="105" t="str"/>
    </x:row>
    <x:row r="17">
      <x:c r="A17" s="106" t="str">
        <x:v>Interview angle</x:v>
      </x:c>
      <x:c r="B17" s="96" t="str">
        <x:v>Eternal gives a defensible discussion around food delivery, quick commerce, margin expansion, competition, and whether a sum-of-the-parts frame is warranted.</x:v>
      </x:c>
      <x:c r="C17" s="105" t="str"/>
      <x:c r="D17" s="105" t="str"/>
      <x:c r="E17" s="105" t="str"/>
      <x:c r="F17" s="105" t="str"/>
      <x:c r="G17" s="105" t="str"/>
      <x:c r="H17" s="105" t="str"/>
      <x:c r="I17" s="105" t="str"/>
    </x:row>
    <x:row r="18">
      <x:c r="A18" s="106" t="str">
        <x:v>Known limitation</x:v>
      </x:c>
      <x:c r="B18" s="96" t="str">
        <x:v>Historical statements are blank input ranges in Phase 1. Do not use outputs as an investment recommendation until actuals and market data are tied.</x:v>
      </x:c>
      <x:c r="C18" s="105" t="str"/>
      <x:c r="D18" s="105" t="str"/>
      <x:c r="E18" s="105" t="str"/>
      <x:c r="F18" s="105" t="str"/>
      <x:c r="G18" s="105" t="str"/>
      <x:c r="H18" s="105" t="str"/>
      <x:c r="I18" s="105" t="str"/>
    </x:row>
  </x:sheetData>
  <x:mergeCells>
    <x:mergeCell ref="A1:I1"/>
    <x:mergeCell ref="D3:I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25" hidden="0" customWidth="1"/>
    <x:col min="4" max="4" width="24" hidden="0" customWidth="1"/>
    <x:col min="5" max="5" width="30" hidden="0" customWidth="1"/>
    <x:col min="6" max="6" width="28" hidden="0" customWidth="1"/>
    <x:col min="7" max="7" width="15" hidden="0" customWidth="1"/>
    <x:col min="8" max="8" width="18" hidden="0" customWidth="1"/>
    <x:col min="9" max="9" width="22" hidden="0" customWidth="1"/>
    <x:col min="10" max="10" width="30" hidden="0" customWidth="1"/>
  </x:cols>
  <x:sheetData>
    <x:row r="1">
      <x:c r="A1" s="104" t="str">
        <x:v>Eternal Valuation Dashboard</x:v>
      </x:c>
      <x:c r="B1" s="104" t="str">
        <x:v>Eternal Valuation Dashboard</x:v>
      </x:c>
      <x:c r="C1" s="104" t="str">
        <x:v>Eternal Valuation Dashboard</x:v>
      </x:c>
      <x:c r="D1" s="104" t="str">
        <x:v>Eternal Valuation Dashboard</x:v>
      </x:c>
      <x:c r="E1" s="104" t="str">
        <x:v>Eternal Valuation Dashboard</x:v>
      </x:c>
      <x:c r="F1" s="104" t="str">
        <x:v>Eternal Valuation Dashboard</x:v>
      </x:c>
      <x:c r="G1" s="104" t="str">
        <x:v>Eternal Valuation Dashboard</x:v>
      </x:c>
      <x:c r="H1" s="104" t="str">
        <x:v>Eternal Valuation Dashboard</x:v>
      </x:c>
      <x:c r="I1" s="104" t="str">
        <x:v>Eternal Valuation Dashboard</x:v>
      </x:c>
      <x:c r="J1" s="104" t="str">
        <x:v>Eternal Valuation Dashboard</x:v>
      </x:c>
    </x:row>
    <x:row r="2">
      <x:c r="A2" s="105"/>
      <x:c r="B2" s="105"/>
      <x:c r="C2" s="105"/>
      <x:c r="D2" s="105"/>
      <x:c r="E2" s="105"/>
      <x:c r="F2" s="105"/>
      <x:c r="G2" s="105"/>
      <x:c r="H2" s="105"/>
      <x:c r="I2" s="105"/>
      <x:c r="J2" s="105"/>
    </x:row>
    <x:row r="3">
      <x:c r="A3" s="108" t="str">
        <x:v>Metric</x:v>
      </x:c>
      <x:c r="B3" s="109" t="str">
        <x:v>Value</x:v>
      </x:c>
      <x:c r="C3" s="109" t="str">
        <x:v>Unit</x:v>
      </x:c>
      <x:c r="D3" s="109" t="str">
        <x:v>Source</x:v>
      </x:c>
      <x:c r="E3" s="109" t="str"/>
      <x:c r="F3" s="109" t="str">
        <x:v>Metric</x:v>
      </x:c>
      <x:c r="G3" s="109" t="str">
        <x:v>Value</x:v>
      </x:c>
      <x:c r="H3" s="109" t="str">
        <x:v>Unit</x:v>
      </x:c>
      <x:c r="I3" s="109" t="str">
        <x:v>Source</x:v>
      </x:c>
      <x:c r="J3" s="110" t="str">
        <x:v>Status</x:v>
      </x:c>
    </x:row>
    <x:row r="4">
      <x:c r="A4" s="105" t="str">
        <x:v>Current share price</x:v>
      </x:c>
      <x:c r="B4" s="111" t="n">
        <x:f>'05_Assumptions'!B34</x:f>
        <x:v>0</x:v>
      </x:c>
      <x:c r="C4" s="105" t="str">
        <x:v>INR / share</x:v>
      </x:c>
      <x:c r="D4" s="105" t="str">
        <x:v>05_Assumptions</x:v>
      </x:c>
      <x:c r="E4" s="105" t="str"/>
      <x:c r="F4" s="105" t="str">
        <x:v>Target price midpoint</x:v>
      </x:c>
      <x:c r="G4" s="111" t="n">
        <x:f>'11_Football_Field'!C8</x:f>
        <x:v>0</x:v>
      </x:c>
      <x:c r="H4" s="105" t="str">
        <x:v>INR / share</x:v>
      </x:c>
      <x:c r="I4" s="105" t="str">
        <x:v>11_Football_Field</x:v>
      </x:c>
      <x:c r="J4" s="105" t="str">
        <x:f>IF(B4&gt;0,"Ready","Needs market price")</x:f>
        <x:v>Needs market price</x:v>
      </x:c>
    </x:row>
    <x:row r="5">
      <x:c r="A5" s="105" t="str">
        <x:v>Target price low</x:v>
      </x:c>
      <x:c r="B5" s="111" t="n">
        <x:f>'11_Football_Field'!B8</x:f>
        <x:v>0</x:v>
      </x:c>
      <x:c r="C5" s="105" t="str">
        <x:v>INR / share</x:v>
      </x:c>
      <x:c r="D5" s="105" t="str">
        <x:v>11_Football_Field</x:v>
      </x:c>
      <x:c r="E5" s="105" t="str"/>
      <x:c r="F5" s="105" t="str">
        <x:v>Target price high</x:v>
      </x:c>
      <x:c r="G5" s="111" t="n">
        <x:f>'11_Football_Field'!D8</x:f>
        <x:v>0</x:v>
      </x:c>
      <x:c r="H5" s="105" t="str">
        <x:v>INR / share</x:v>
      </x:c>
      <x:c r="I5" s="105" t="str">
        <x:v>11_Football_Field</x:v>
      </x:c>
      <x:c r="J5" s="105" t="str">
        <x:f>IF(G5&gt;0,"Ready","Needs valuation data")</x:f>
        <x:v>Needs valuation data</x:v>
      </x:c>
    </x:row>
    <x:row r="6">
      <x:c r="A6" s="105" t="str">
        <x:v>Upside / downside</x:v>
      </x:c>
      <x:c r="B6" s="112" t="n">
        <x:f>IFERROR(G4/B4-1,0)</x:f>
        <x:v>0</x:v>
      </x:c>
      <x:c r="C6" s="105" t="str">
        <x:v>%</x:v>
      </x:c>
      <x:c r="D6" s="105" t="str">
        <x:v>Dashboard</x:v>
      </x:c>
      <x:c r="E6" s="105" t="str"/>
      <x:c r="F6" s="105" t="str">
        <x:v>Recommendation</x:v>
      </x:c>
      <x:c r="G6" s="105" t="str">
        <x:f>'12_Thesis'!B10</x:f>
        <x:v>Hold</x:v>
      </x:c>
      <x:c r="H6" s="105" t="str">
        <x:v>Buy / Hold / Sell</x:v>
      </x:c>
      <x:c r="I6" s="105" t="str">
        <x:v>12_Thesis</x:v>
      </x:c>
      <x:c r="J6" s="105" t="str">
        <x:f>IF(B4&gt;0,"Ready","Needs market price")</x:f>
        <x:v>Needs market price</x:v>
      </x:c>
    </x:row>
    <x:row r="7">
      <x:c r="A7" s="105" t="str">
        <x:v>Enterprise value</x:v>
      </x:c>
      <x:c r="B7" s="116" t="n">
        <x:f>'08_DCF'!D23</x:f>
        <x:v>0</x:v>
      </x:c>
      <x:c r="C7" s="116" t="str">
        <x:v>INR cr</x:v>
      </x:c>
      <x:c r="D7" s="116" t="str">
        <x:v>08_DCF</x:v>
      </x:c>
      <x:c r="E7" s="116" t="str"/>
      <x:c r="F7" s="116" t="str">
        <x:v>Equity value</x:v>
      </x:c>
      <x:c r="G7" s="116" t="n">
        <x:f>'08_DCF'!D25</x:f>
        <x:v>0</x:v>
      </x:c>
      <x:c r="H7" s="105" t="str">
        <x:v>INR cr</x:v>
      </x:c>
      <x:c r="I7" s="105" t="str">
        <x:v>08_DCF</x:v>
      </x:c>
      <x:c r="J7" s="105" t="str">
        <x:f>IF(B7&gt;0,"Ready","Needs model data")</x:f>
        <x:v>Needs model data</x:v>
      </x:c>
    </x:row>
    <x:row r="8">
      <x:c r="A8" s="105" t="str">
        <x:v>WACC</x:v>
      </x:c>
      <x:c r="B8" s="112" t="n">
        <x:f>'05_Assumptions'!B31</x:f>
        <x:v>0.1314375</x:v>
      </x:c>
      <x:c r="C8" s="112" t="str">
        <x:v>%</x:v>
      </x:c>
      <x:c r="D8" s="112" t="str">
        <x:v>05_Assumptions</x:v>
      </x:c>
      <x:c r="E8" s="112" t="str"/>
      <x:c r="F8" s="112" t="str">
        <x:v>Terminal growth</x:v>
      </x:c>
      <x:c r="G8" s="112" t="n">
        <x:f>'05_Assumptions'!B35</x:f>
        <x:v>0.04</x:v>
      </x:c>
      <x:c r="H8" s="105" t="str">
        <x:v>%</x:v>
      </x:c>
      <x:c r="I8" s="105" t="str">
        <x:v>05_Assumptions</x:v>
      </x:c>
      <x:c r="J8" s="105" t="str">
        <x:f>IF(B8&gt;G8,"Ready","Review")</x:f>
        <x:v>Ready</x:v>
      </x:c>
    </x:row>
    <x:row r="9">
      <x:c r="A9" s="105" t="str">
        <x:v>Exit EBITDA multiple</x:v>
      </x:c>
      <x:c r="B9" s="113" t="n">
        <x:f>'05_Assumptions'!B36</x:f>
        <x:v>25</x:v>
      </x:c>
      <x:c r="C9" s="112" t="str">
        <x:v>x</x:v>
      </x:c>
      <x:c r="D9" s="112" t="str">
        <x:v>05_Assumptions</x:v>
      </x:c>
      <x:c r="E9" s="112" t="str"/>
      <x:c r="F9" s="112" t="str">
        <x:v>FY27E-FY31E Revenue CAGR</x:v>
      </x:c>
      <x:c r="G9" s="112" t="n">
        <x:f>IFERROR(('06_Operating_Model'!G4/'06_Operating_Model'!C4)^(1/4)-1,0)</x:f>
        <x:v>0</x:v>
      </x:c>
      <x:c r="H9" s="105" t="str">
        <x:v>%</x:v>
      </x:c>
      <x:c r="I9" s="105" t="str">
        <x:v>06_Operating_Model</x:v>
      </x:c>
      <x:c r="J9" s="105" t="str">
        <x:f>IF(G9&lt;&gt;0,"Ready","Needs historical revenue")</x:f>
        <x:v>Needs historical revenue</x:v>
      </x:c>
    </x:row>
    <x:row r="10">
      <x:c r="A10" s="105" t="str">
        <x:v>FY31E EBITDA margin</x:v>
      </x:c>
      <x:c r="B10" s="105" t="n">
        <x:f>'06_Operating_Model'!G6</x:f>
        <x:v>0.12</x:v>
      </x:c>
      <x:c r="C10" s="105" t="str">
        <x:v>%</x:v>
      </x:c>
      <x:c r="D10" s="105" t="str">
        <x:v>06_Operating_Model</x:v>
      </x:c>
      <x:c r="E10" s="105" t="str"/>
      <x:c r="F10" s="105" t="str">
        <x:v>Model status</x:v>
      </x:c>
      <x:c r="G10" s="105" t="str">
        <x:f>'13_Checks'!F14</x:f>
        <x:v>Phase 1.1 - needs source inputs</x:v>
      </x:c>
      <x:c r="H10" s="105" t="str">
        <x:v>Status</x:v>
      </x:c>
      <x:c r="I10" s="105" t="str">
        <x:v>13_Checks</x:v>
      </x:c>
      <x:c r="J10" s="105" t="str">
        <x:f>IF(G10="OK","Ready",G10)</x:f>
        <x:v>Phase 1.1 - needs source inputs</x:v>
      </x:c>
    </x:row>
    <x:row r="11">
      <x:c r="A11" s="105" t="str">
        <x:v>Historical data status</x:v>
      </x:c>
      <x:c r="B11" s="105" t="str">
        <x:f>IF(COUNT('03_Raw_Data'!B4:F15)&gt;=12,"Entered","Needs input")</x:f>
        <x:v>Needs input</x:v>
      </x:c>
      <x:c r="C11" s="105" t="str">
        <x:v>Status</x:v>
      </x:c>
      <x:c r="D11" s="105" t="str">
        <x:v>03_Raw_Data</x:v>
      </x:c>
      <x:c r="E11" s="105" t="str"/>
      <x:c r="F11" s="105" t="str">
        <x:v>Comps data status</x:v>
      </x:c>
      <x:c r="G11" s="105" t="str">
        <x:f>IF('09_Trading_Comps'!H11&gt;0,"Entered","Needs input")</x:f>
        <x:v>Needs input</x:v>
      </x:c>
      <x:c r="H11" s="105" t="str">
        <x:v>Status</x:v>
      </x:c>
      <x:c r="I11" s="105" t="str">
        <x:v>09_Trading_Comps</x:v>
      </x:c>
      <x:c r="J11" s="105" t="str">
        <x:f>IF(B11="Entered","Ready","Needs filings")</x:f>
        <x:v>Needs filings</x:v>
      </x:c>
    </x:row>
    <x:row r="12">
      <x:c r="A12" s="105" t="str">
        <x:v>Precedents data status</x:v>
      </x:c>
      <x:c r="B12" s="105" t="str">
        <x:f>IF(OR('10_Precedents'!H9&gt;0,'10_Precedents'!I9&gt;0),"Entered","Optional / needs input")</x:f>
        <x:v>Optional / needs input</x:v>
      </x:c>
      <x:c r="C12" s="105" t="str">
        <x:v>Status</x:v>
      </x:c>
      <x:c r="D12" s="105" t="str">
        <x:v>10_Precedents</x:v>
      </x:c>
      <x:c r="E12" s="105" t="str"/>
      <x:c r="F12" s="105" t="str">
        <x:v>Version</x:v>
      </x:c>
      <x:c r="G12" s="105" t="str">
        <x:f>"v1.1"</x:f>
        <x:v>v1.1</x:v>
      </x:c>
      <x:c r="H12" s="105" t="str">
        <x:v>Model version</x:v>
      </x:c>
      <x:c r="I12" s="105" t="str">
        <x:v>01_Cover</x:v>
      </x:c>
      <x:c r="J12" s="105" t="str">
        <x:f>"Ready"</x:f>
        <x:v>Ready</x:v>
      </x:c>
    </x:row>
    <x:row r="13">
      <x:c r="A13" s="105"/>
      <x:c r="B13" s="105"/>
      <x:c r="C13" s="105"/>
      <x:c r="D13" s="105"/>
      <x:c r="E13" s="105"/>
      <x:c r="F13" s="105"/>
      <x:c r="G13" s="105"/>
      <x:c r="H13" s="105"/>
      <x:c r="I13" s="105"/>
      <x:c r="J13" s="105"/>
    </x:row>
    <x:row r="14">
      <x:c r="A14" s="105"/>
      <x:c r="B14" s="105"/>
      <x:c r="C14" s="105"/>
      <x:c r="D14" s="105"/>
      <x:c r="E14" s="105"/>
      <x:c r="F14" s="105"/>
      <x:c r="G14" s="105"/>
      <x:c r="H14" s="105"/>
      <x:c r="I14" s="105"/>
      <x:c r="J14" s="105"/>
    </x:row>
    <x:row r="15">
      <x:c r="A15" s="108" t="str">
        <x:v>Phase 2 Data Entry Checklist</x:v>
      </x:c>
      <x:c r="B15" s="109" t="str">
        <x:v>Status</x:v>
      </x:c>
      <x:c r="C15" s="109" t="str">
        <x:v>Source</x:v>
      </x:c>
      <x:c r="D15" s="109" t="str">
        <x:v>Model destination</x:v>
      </x:c>
      <x:c r="E15" s="109" t="str">
        <x:v>Notes</x:v>
      </x:c>
      <x:c r="F15" s="109" t="str"/>
      <x:c r="G15" s="109" t="str">
        <x:v>Output Readiness</x:v>
      </x:c>
      <x:c r="H15" s="109" t="str">
        <x:v>Status</x:v>
      </x:c>
      <x:c r="I15" s="109" t="str">
        <x:v>Owner</x:v>
      </x:c>
      <x:c r="J15" s="110" t="str">
        <x:v>Next step</x:v>
      </x:c>
    </x:row>
    <x:row r="16" ht="24" customHeight="1">
      <x:c r="A16" s="105" t="str">
        <x:v>Annual reports downloaded</x:v>
      </x:c>
      <x:c r="B16" s="115" t="str">
        <x:v>Not started</x:v>
      </x:c>
      <x:c r="C16" s="105" t="str">
        <x:v>Eternal IR / exchanges</x:v>
      </x:c>
      <x:c r="D16" s="105" t="str">
        <x:v>data/annual_reports</x:v>
      </x:c>
      <x:c r="E16" s="105" t="str">
        <x:v>FY22-FY25 annual reports</x:v>
      </x:c>
      <x:c r="F16" s="105" t="str"/>
      <x:c r="G16" s="105" t="str">
        <x:v>Historical FS</x:v>
      </x:c>
      <x:c r="H16" s="105" t="str">
        <x:v>Waiting</x:v>
      </x:c>
      <x:c r="I16" s="105" t="str">
        <x:v>User/Codex</x:v>
      </x:c>
      <x:c r="J16" s="105" t="str">
        <x:v>Enter raw values</x:v>
      </x:c>
    </x:row>
    <x:row r="17" ht="24" customHeight="1">
      <x:c r="A17" s="105" t="str">
        <x:v>Latest FY26 result downloaded</x:v>
      </x:c>
      <x:c r="B17" s="115" t="str">
        <x:v>Not started</x:v>
      </x:c>
      <x:c r="C17" s="105" t="str">
        <x:v>Eternal IR / exchanges</x:v>
      </x:c>
      <x:c r="D17" s="105" t="str">
        <x:v>data/quarterly_results</x:v>
      </x:c>
      <x:c r="E17" s="105" t="str">
        <x:v>Use latest audited/unaudited source</x:v>
      </x:c>
      <x:c r="F17" s="105" t="str"/>
      <x:c r="G17" s="105" t="str">
        <x:v>DCF</x:v>
      </x:c>
      <x:c r="H17" s="105" t="str">
        <x:v>Waiting</x:v>
      </x:c>
      <x:c r="I17" s="105" t="str">
        <x:v>User/Codex</x:v>
      </x:c>
      <x:c r="J17" s="105" t="str">
        <x:v>Populate historicals</x:v>
      </x:c>
    </x:row>
    <x:row r="18" ht="24" customHeight="1">
      <x:c r="A18" s="105" t="str">
        <x:v>Revenue and EBITDA actuals entered</x:v>
      </x:c>
      <x:c r="B18" s="115" t="str">
        <x:v>Not started</x:v>
      </x:c>
      <x:c r="C18" s="105" t="str">
        <x:v>03_Raw_Data</x:v>
      </x:c>
      <x:c r="D18" s="105" t="str">
        <x:v>04_Historical_FS</x:v>
      </x:c>
      <x:c r="E18" s="105" t="str">
        <x:v>Use INR cr</x:v>
      </x:c>
      <x:c r="F18" s="105" t="str"/>
      <x:c r="G18" s="105" t="str">
        <x:v>Dashboard</x:v>
      </x:c>
      <x:c r="H18" s="105" t="str">
        <x:v>Waiting</x:v>
      </x:c>
      <x:c r="I18" s="105" t="str">
        <x:v>User/Codex</x:v>
      </x:c>
      <x:c r="J18" s="105" t="str">
        <x:v>Fill core actuals</x:v>
      </x:c>
    </x:row>
    <x:row r="19" ht="24" customHeight="1">
      <x:c r="A19" s="105" t="str">
        <x:v>Cash, debt, capex, NWC entered</x:v>
      </x:c>
      <x:c r="B19" s="115" t="str">
        <x:v>Not started</x:v>
      </x:c>
      <x:c r="C19" s="105" t="str">
        <x:v>03_Raw_Data</x:v>
      </x:c>
      <x:c r="D19" s="105" t="str">
        <x:v>04_Historical_FS</x:v>
      </x:c>
      <x:c r="E19" s="105" t="str">
        <x:v>Needed for FCF bridge</x:v>
      </x:c>
      <x:c r="F19" s="105" t="str"/>
      <x:c r="G19" s="105" t="str">
        <x:v>Comps</x:v>
      </x:c>
      <x:c r="H19" s="105" t="str">
        <x:v>Waiting</x:v>
      </x:c>
      <x:c r="I19" s="105" t="str">
        <x:v>User/Codex</x:v>
      </x:c>
      <x:c r="J19" s="105" t="str">
        <x:v>Collect market data</x:v>
      </x:c>
    </x:row>
    <x:row r="20" ht="24" customHeight="1">
      <x:c r="A20" s="105" t="str">
        <x:v>WACC inputs sourced</x:v>
      </x:c>
      <x:c r="B20" s="115" t="str">
        <x:v>Not started</x:v>
      </x:c>
      <x:c r="C20" s="105" t="str">
        <x:v>RBI / Damodaran / market data</x:v>
      </x:c>
      <x:c r="D20" s="105" t="str">
        <x:v>05_Assumptions</x:v>
      </x:c>
      <x:c r="E20" s="105" t="str">
        <x:v>Risk-free rate, beta, ERP</x:v>
      </x:c>
      <x:c r="F20" s="105" t="str"/>
      <x:c r="G20" s="105" t="str">
        <x:v>Football field</x:v>
      </x:c>
      <x:c r="H20" s="105" t="str">
        <x:v>Waiting</x:v>
      </x:c>
      <x:c r="I20" s="105" t="str">
        <x:v>User/Codex</x:v>
      </x:c>
      <x:c r="J20" s="105" t="str">
        <x:v>Finish valuation range</x:v>
      </x:c>
    </x:row>
    <x:row r="21" ht="24" customHeight="1">
      <x:c r="A21" s="105" t="str">
        <x:v>Peer set populated</x:v>
      </x:c>
      <x:c r="B21" s="115" t="str">
        <x:v>Not started</x:v>
      </x:c>
      <x:c r="C21" s="105" t="str">
        <x:v>Filings / market data</x:v>
      </x:c>
      <x:c r="D21" s="105" t="str">
        <x:v>09_Trading_Comps</x:v>
      </x:c>
      <x:c r="E21" s="105" t="str">
        <x:v>Use same data date</x:v>
      </x:c>
      <x:c r="F21" s="105" t="str"/>
      <x:c r="G21" s="105" t="str">
        <x:v>Report</x:v>
      </x:c>
      <x:c r="H21" s="105" t="str">
        <x:v>Waiting</x:v>
      </x:c>
      <x:c r="I21" s="105" t="str">
        <x:v>User/Codex</x:v>
      </x:c>
      <x:c r="J21" s="105" t="str">
        <x:v>Draft report</x:v>
      </x:c>
    </x:row>
    <x:row r="22" ht="24" customHeight="1">
      <x:c r="A22" s="105" t="str">
        <x:v>Precedent set assessed</x:v>
      </x:c>
      <x:c r="B22" s="115" t="str">
        <x:v>Not started</x:v>
      </x:c>
      <x:c r="C22" s="105" t="str">
        <x:v>Deal releases / filings</x:v>
      </x:c>
      <x:c r="D22" s="105" t="str">
        <x:v>10_Precedents</x:v>
      </x:c>
      <x:c r="E22" s="105" t="str">
        <x:v>Use only if credible</x:v>
      </x:c>
      <x:c r="F22" s="105" t="str"/>
      <x:c r="G22" s="105" t="str">
        <x:v>Pitch deck</x:v>
      </x:c>
      <x:c r="H22" s="105" t="str">
        <x:v>Waiting</x:v>
      </x:c>
      <x:c r="I22" s="105" t="str">
        <x:v>User/Codex</x:v>
      </x:c>
      <x:c r="J22" s="105" t="str">
        <x:v>Create slides</x:v>
      </x:c>
    </x:row>
    <x:row r="23" ht="24" customHeight="1">
      <x:c r="A23" s="105" t="str">
        <x:v>Investment decision written</x:v>
      </x:c>
      <x:c r="B23" s="115" t="str">
        <x:v>Not started</x:v>
      </x:c>
      <x:c r="C23" s="105" t="str">
        <x:v>Model output</x:v>
      </x:c>
      <x:c r="D23" s="105" t="str">
        <x:v>12_Thesis</x:v>
      </x:c>
      <x:c r="E23" s="105" t="str">
        <x:v>Buy/Hold/Sell plus risks/catalysts</x:v>
      </x:c>
      <x:c r="F23" s="105" t="str"/>
      <x:c r="G23" s="105" t="str">
        <x:v>GitHub package</x:v>
      </x:c>
      <x:c r="H23" s="105" t="str">
        <x:v>Waiting</x:v>
      </x:c>
      <x:c r="I23" s="105" t="str">
        <x:v>User/Codex</x:v>
      </x:c>
      <x:c r="J23" s="105" t="str">
        <x:v>README/screenshots</x:v>
      </x:c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  <x:col min="9" max="9" width="32" hidden="0" customWidth="1"/>
    <x:col min="10" max="10" width="44" hidden="0" customWidth="1"/>
  </x:cols>
  <x:sheetData>
    <x:row r="1">
      <x:c r="A1" s="104" t="str">
        <x:v>Raw Data Entry - Historical Actuals</x:v>
      </x:c>
      <x:c r="B1" s="104" t="str">
        <x:v>Raw Data Entry - Historical Actuals</x:v>
      </x:c>
      <x:c r="C1" s="104" t="str">
        <x:v>Raw Data Entry - Historical Actuals</x:v>
      </x:c>
      <x:c r="D1" s="104" t="str">
        <x:v>Raw Data Entry - Historical Actuals</x:v>
      </x:c>
      <x:c r="E1" s="104" t="str">
        <x:v>Raw Data Entry - Historical Actuals</x:v>
      </x:c>
      <x:c r="F1" s="104" t="str">
        <x:v>Raw Data Entry - Historical Actuals</x:v>
      </x:c>
      <x:c r="G1" s="104" t="str">
        <x:v>Raw Data Entry - Historical Actuals</x:v>
      </x:c>
      <x:c r="H1" s="104" t="str">
        <x:v>Raw Data Entry - Historical Actuals</x:v>
      </x:c>
      <x:c r="I1" s="104" t="str">
        <x:v>Raw Data Entry - Historical Actuals</x:v>
      </x:c>
      <x:c r="J1" s="104" t="str">
        <x:v>Raw Data Entry - Historical Actuals</x:v>
      </x:c>
    </x:row>
    <x:row r="2">
      <x:c r="A2" s="105"/>
      <x:c r="B2" s="105"/>
      <x:c r="C2" s="105"/>
      <x:c r="D2" s="105"/>
      <x:c r="E2" s="105"/>
      <x:c r="F2" s="105"/>
      <x:c r="G2" s="105"/>
      <x:c r="H2" s="105"/>
      <x:c r="I2" s="105"/>
      <x:c r="J2" s="105"/>
    </x:row>
    <x:row r="3">
      <x:c r="A3" s="108" t="str">
        <x:v>Line item</x:v>
      </x:c>
      <x:c r="B3" s="109" t="str">
        <x:v>FY22A</x:v>
      </x:c>
      <x:c r="C3" s="109" t="str">
        <x:v>FY23A</x:v>
      </x:c>
      <x:c r="D3" s="109" t="str">
        <x:v>FY24A</x:v>
      </x:c>
      <x:c r="E3" s="109" t="str">
        <x:v>FY25A</x:v>
      </x:c>
      <x:c r="F3" s="109" t="str">
        <x:v>FY26A</x:v>
      </x:c>
      <x:c r="G3" s="109" t="str">
        <x:v>Units</x:v>
      </x:c>
      <x:c r="H3" s="109" t="str">
        <x:v>Source ID</x:v>
      </x:c>
      <x:c r="I3" s="109" t="str">
        <x:v>Source detail / page</x:v>
      </x:c>
      <x:c r="J3" s="110" t="str">
        <x:v>Entry notes</x:v>
      </x:c>
    </x:row>
    <x:row r="4">
      <x:c r="A4" s="105" t="str">
        <x:v>Revenue</x:v>
      </x:c>
      <x:c r="B4" s="121"/>
      <x:c r="C4" s="121"/>
      <x:c r="D4" s="121"/>
      <x:c r="E4" s="121"/>
      <x:c r="F4" s="121"/>
      <x:c r="G4" s="105" t="str">
        <x:v>INR cr</x:v>
      </x:c>
      <x:c r="H4" s="115" t="str">
        <x:v>S2/S3</x:v>
      </x:c>
      <x:c r="I4" s="119" t="str">
        <x:v>Annual report / latest result</x:v>
      </x:c>
      <x:c r="J4" s="119" t="str">
        <x:v>Revenue from operations or comparable consolidated revenue line.</x:v>
      </x:c>
    </x:row>
    <x:row r="5">
      <x:c r="A5" s="105" t="str">
        <x:v>COGS / operating costs</x:v>
      </x:c>
      <x:c r="B5" s="121"/>
      <x:c r="C5" s="121"/>
      <x:c r="D5" s="121"/>
      <x:c r="E5" s="121"/>
      <x:c r="F5" s="121"/>
      <x:c r="G5" s="105" t="str">
        <x:v>INR cr</x:v>
      </x:c>
      <x:c r="H5" s="115" t="str">
        <x:v>S2/S3</x:v>
      </x:c>
      <x:c r="I5" s="119" t="str">
        <x:v>Annual report / latest result</x:v>
      </x:c>
      <x:c r="J5" s="119" t="str">
        <x:v>Enter as positive expense.</x:v>
      </x:c>
    </x:row>
    <x:row r="6">
      <x:c r="A6" s="105" t="str">
        <x:v>SG&amp;A / other operating expenses</x:v>
      </x:c>
      <x:c r="B6" s="121"/>
      <x:c r="C6" s="121"/>
      <x:c r="D6" s="121"/>
      <x:c r="E6" s="121"/>
      <x:c r="F6" s="121"/>
      <x:c r="G6" s="105" t="str">
        <x:v>INR cr</x:v>
      </x:c>
      <x:c r="H6" s="115" t="str">
        <x:v>S2/S3</x:v>
      </x:c>
      <x:c r="I6" s="119" t="str">
        <x:v>Annual report / latest result</x:v>
      </x:c>
      <x:c r="J6" s="119" t="str">
        <x:v>Enter as positive expense.</x:v>
      </x:c>
    </x:row>
    <x:row r="7">
      <x:c r="A7" s="105" t="str">
        <x:v>D&amp;A</x:v>
      </x:c>
      <x:c r="B7" s="121"/>
      <x:c r="C7" s="121"/>
      <x:c r="D7" s="121"/>
      <x:c r="E7" s="121"/>
      <x:c r="F7" s="121"/>
      <x:c r="G7" s="105" t="str">
        <x:v>INR cr</x:v>
      </x:c>
      <x:c r="H7" s="115" t="str">
        <x:v>S2/S3</x:v>
      </x:c>
      <x:c r="I7" s="119" t="str">
        <x:v>Cash flow / notes</x:v>
      </x:c>
      <x:c r="J7" s="119" t="str">
        <x:v>Depreciation and amortization expense.</x:v>
      </x:c>
    </x:row>
    <x:row r="8">
      <x:c r="A8" s="105" t="str">
        <x:v>Cash taxes</x:v>
      </x:c>
      <x:c r="B8" s="121"/>
      <x:c r="C8" s="121"/>
      <x:c r="D8" s="121"/>
      <x:c r="E8" s="121"/>
      <x:c r="F8" s="121"/>
      <x:c r="G8" s="105" t="str">
        <x:v>INR cr</x:v>
      </x:c>
      <x:c r="H8" s="115" t="str">
        <x:v>S2/S3</x:v>
      </x:c>
      <x:c r="I8" s="119" t="str">
        <x:v>Cash flow / tax note</x:v>
      </x:c>
      <x:c r="J8" s="119" t="str">
        <x:v>Use cash taxes where available; otherwise normalized tax proxy.</x:v>
      </x:c>
    </x:row>
    <x:row r="9">
      <x:c r="A9" s="105" t="str">
        <x:v>Net income</x:v>
      </x:c>
      <x:c r="B9" s="121"/>
      <x:c r="C9" s="121"/>
      <x:c r="D9" s="121"/>
      <x:c r="E9" s="121"/>
      <x:c r="F9" s="121"/>
      <x:c r="G9" s="105" t="str">
        <x:v>INR cr</x:v>
      </x:c>
      <x:c r="H9" s="115" t="str">
        <x:v>S2/S3</x:v>
      </x:c>
      <x:c r="I9" s="119" t="str">
        <x:v>P&amp;L</x:v>
      </x:c>
      <x:c r="J9" s="119" t="str">
        <x:v>Profit / loss attributable to shareholders if available.</x:v>
      </x:c>
    </x:row>
    <x:row r="10">
      <x:c r="A10" s="105" t="str">
        <x:v>Cash and equivalents</x:v>
      </x:c>
      <x:c r="B10" s="121"/>
      <x:c r="C10" s="121"/>
      <x:c r="D10" s="121"/>
      <x:c r="E10" s="121"/>
      <x:c r="F10" s="121"/>
      <x:c r="G10" s="105" t="str">
        <x:v>INR cr</x:v>
      </x:c>
      <x:c r="H10" s="115" t="str">
        <x:v>S2/S3</x:v>
      </x:c>
      <x:c r="I10" s="119" t="str">
        <x:v>Balance sheet</x:v>
      </x:c>
      <x:c r="J10" s="119" t="str">
        <x:v>Cash, cash equivalents, and liquid investments if treated as cash.</x:v>
      </x:c>
    </x:row>
    <x:row r="11">
      <x:c r="A11" s="105" t="str">
        <x:v>Debt</x:v>
      </x:c>
      <x:c r="B11" s="121"/>
      <x:c r="C11" s="121"/>
      <x:c r="D11" s="121"/>
      <x:c r="E11" s="121"/>
      <x:c r="F11" s="121"/>
      <x:c r="G11" s="105" t="str">
        <x:v>INR cr</x:v>
      </x:c>
      <x:c r="H11" s="115" t="str">
        <x:v>S2/S3</x:v>
      </x:c>
      <x:c r="I11" s="119" t="str">
        <x:v>Balance sheet</x:v>
      </x:c>
      <x:c r="J11" s="119" t="str">
        <x:v>Borrowings and lease debt if included in net debt bridge.</x:v>
      </x:c>
    </x:row>
    <x:row r="12">
      <x:c r="A12" s="105" t="str">
        <x:v>Current assets ex-cash</x:v>
      </x:c>
      <x:c r="B12" s="121"/>
      <x:c r="C12" s="121"/>
      <x:c r="D12" s="121"/>
      <x:c r="E12" s="121"/>
      <x:c r="F12" s="121"/>
      <x:c r="G12" s="105" t="str">
        <x:v>INR cr</x:v>
      </x:c>
      <x:c r="H12" s="115" t="str">
        <x:v>S2/S3</x:v>
      </x:c>
      <x:c r="I12" s="119" t="str">
        <x:v>Balance sheet</x:v>
      </x:c>
      <x:c r="J12" s="119" t="str">
        <x:v>Exclude cash and cash equivalents.</x:v>
      </x:c>
    </x:row>
    <x:row r="13">
      <x:c r="A13" s="105" t="str">
        <x:v>Current liabilities ex-debt</x:v>
      </x:c>
      <x:c r="B13" s="121"/>
      <x:c r="C13" s="121"/>
      <x:c r="D13" s="121"/>
      <x:c r="E13" s="121"/>
      <x:c r="F13" s="121"/>
      <x:c r="G13" s="105" t="str">
        <x:v>INR cr</x:v>
      </x:c>
      <x:c r="H13" s="115" t="str">
        <x:v>S2/S3</x:v>
      </x:c>
      <x:c r="I13" s="119" t="str">
        <x:v>Balance sheet</x:v>
      </x:c>
      <x:c r="J13" s="119" t="str">
        <x:v>Exclude debt / borrowings where separately modeled.</x:v>
      </x:c>
    </x:row>
    <x:row r="14">
      <x:c r="A14" s="105" t="str">
        <x:v>Capex</x:v>
      </x:c>
      <x:c r="B14" s="121"/>
      <x:c r="C14" s="121"/>
      <x:c r="D14" s="121"/>
      <x:c r="E14" s="121"/>
      <x:c r="F14" s="121"/>
      <x:c r="G14" s="105" t="str">
        <x:v>INR cr</x:v>
      </x:c>
      <x:c r="H14" s="115" t="str">
        <x:v>S2/S3</x:v>
      </x:c>
      <x:c r="I14" s="119" t="str">
        <x:v>Cash flow</x:v>
      </x:c>
      <x:c r="J14" s="119" t="str">
        <x:v>Purchase of PPE/intangibles; enter cash outflow as positive.</x:v>
      </x:c>
    </x:row>
    <x:row r="15">
      <x:c r="A15" s="105" t="str">
        <x:v>Diluted shares</x:v>
      </x:c>
      <x:c r="B15" s="122"/>
      <x:c r="C15" s="122"/>
      <x:c r="D15" s="122"/>
      <x:c r="E15" s="122"/>
      <x:c r="F15" s="122"/>
      <x:c r="G15" s="105" t="str">
        <x:v>mm</x:v>
      </x:c>
      <x:c r="H15" s="115" t="str">
        <x:v>S9</x:v>
      </x:c>
      <x:c r="I15" s="119" t="str">
        <x:v>Filing / exchange data</x:v>
      </x:c>
      <x:c r="J15" s="119" t="str">
        <x:v>Diluted weighted average or latest diluted share count.</x:v>
      </x:c>
    </x:row>
    <x:row r="16">
      <x:c r="A16" s="105"/>
      <x:c r="B16" s="105"/>
      <x:c r="C16" s="105"/>
      <x:c r="D16" s="105"/>
      <x:c r="E16" s="105"/>
      <x:c r="F16" s="105"/>
      <x:c r="G16" s="105"/>
      <x:c r="H16" s="105"/>
      <x:c r="I16" s="105"/>
      <x:c r="J16" s="105"/>
    </x:row>
    <x:row r="17">
      <x:c r="A17" s="105"/>
      <x:c r="B17" s="105"/>
      <x:c r="C17" s="105"/>
      <x:c r="D17" s="105"/>
      <x:c r="E17" s="105"/>
      <x:c r="F17" s="105"/>
      <x:c r="G17" s="105"/>
      <x:c r="H17" s="105"/>
      <x:c r="I17" s="105"/>
      <x:c r="J17" s="105"/>
    </x:row>
    <x:row r="18">
      <x:c r="A18" s="107" t="str">
        <x:v>Raw Data Rules</x:v>
      </x:c>
      <x:c r="B18" s="107" t="str">
        <x:v>Raw Data Rules</x:v>
      </x:c>
      <x:c r="C18" s="107" t="str">
        <x:v>Raw Data Rules</x:v>
      </x:c>
      <x:c r="D18" s="107" t="str">
        <x:v>Raw Data Rules</x:v>
      </x:c>
      <x:c r="E18" s="107" t="str">
        <x:v>Raw Data Rules</x:v>
      </x:c>
      <x:c r="F18" s="107" t="str">
        <x:v>Raw Data Rules</x:v>
      </x:c>
      <x:c r="G18" s="107" t="str">
        <x:v>Raw Data Rules</x:v>
      </x:c>
      <x:c r="H18" s="107" t="str">
        <x:v>Raw Data Rules</x:v>
      </x:c>
      <x:c r="I18" s="107" t="str">
        <x:v>Raw Data Rules</x:v>
      </x:c>
      <x:c r="J18" s="107" t="str">
        <x:v>Raw Data Rules</x:v>
      </x:c>
    </x:row>
    <x:row r="19">
      <x:c r="A19" s="105" t="str">
        <x:v>1</x:v>
      </x:c>
      <x:c r="B19" s="96" t="str">
        <x:v>Do not calculate on this sheet. Enter only source-backed values and source details.</x:v>
      </x:c>
      <x:c r="C19" s="96" t="str"/>
      <x:c r="D19" s="105" t="str"/>
      <x:c r="E19" s="105" t="str"/>
      <x:c r="F19" s="105" t="str"/>
      <x:c r="G19" s="105" t="str"/>
      <x:c r="H19" s="105" t="str"/>
      <x:c r="I19" s="105" t="str"/>
      <x:c r="J19" s="105" t="str"/>
    </x:row>
    <x:row r="20">
      <x:c r="A20" s="105" t="str">
        <x:v>2</x:v>
      </x:c>
      <x:c r="B20" s="96" t="str">
        <x:v>Use INR crores consistently. If a source reports INR millions, convert before entry and note it.</x:v>
      </x:c>
      <x:c r="C20" s="96" t="str"/>
      <x:c r="D20" s="105" t="str"/>
      <x:c r="E20" s="105" t="str"/>
      <x:c r="F20" s="105" t="str"/>
      <x:c r="G20" s="105" t="str"/>
      <x:c r="H20" s="105" t="str"/>
      <x:c r="I20" s="105" t="str"/>
      <x:c r="J20" s="105" t="str"/>
    </x:row>
    <x:row r="21">
      <x:c r="A21" s="105" t="str">
        <x:v>3</x:v>
      </x:c>
      <x:c r="B21" s="96" t="str">
        <x:v>Expenses should be positive. Historical FS handles signs and calculations downstream.</x:v>
      </x:c>
      <x:c r="C21" s="96" t="str"/>
      <x:c r="D21" s="105" t="str"/>
      <x:c r="E21" s="105" t="str"/>
      <x:c r="F21" s="105" t="str"/>
      <x:c r="G21" s="105" t="str"/>
      <x:c r="H21" s="105" t="str"/>
      <x:c r="I21" s="105" t="str"/>
      <x:c r="J21" s="105" t="str"/>
    </x:row>
    <x:row r="22">
      <x:c r="A22" s="105" t="str">
        <x:v>4</x:v>
      </x:c>
      <x:c r="B22" s="96" t="str">
        <x:v>Every entered value needs a source ID. Use Sources Audit for URLs and filing notes.</x:v>
      </x:c>
      <x:c r="C22" s="96" t="str"/>
      <x:c r="D22" s="105" t="str"/>
      <x:c r="E22" s="105" t="str"/>
      <x:c r="F22" s="105" t="str"/>
      <x:c r="G22" s="105" t="str"/>
      <x:c r="H22" s="105" t="str"/>
      <x:c r="I22" s="105" t="str"/>
      <x:c r="J22" s="105" t="str"/>
    </x:row>
    <x:row r="23">
      <x:c r="A23" s="105" t="str">
        <x:v>5</x:v>
      </x:c>
      <x:c r="B23" s="96" t="str">
        <x:v>When unsure, leave blank. A blank audited source is better than a guessed value.</x:v>
      </x:c>
      <x:c r="C23" s="96" t="str"/>
      <x:c r="D23" s="105" t="str"/>
      <x:c r="E23" s="105" t="str"/>
      <x:c r="F23" s="105" t="str"/>
      <x:c r="G23" s="105" t="str"/>
      <x:c r="H23" s="105" t="str"/>
      <x:c r="I23" s="105" t="str"/>
      <x:c r="J23" s="105" t="str"/>
    </x:row>
  </x:sheetData>
  <x:mergeCells>
    <x:mergeCell ref="A1:J1"/>
    <x:mergeCell ref="A18:J18"/>
    <x:mergeCell ref="B19:J19"/>
    <x:mergeCell ref="B20:J20"/>
    <x:mergeCell ref="B21:J21"/>
    <x:mergeCell ref="B22:J22"/>
    <x:mergeCell ref="B23:J2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4" hidden="0" customWidth="1"/>
    <x:col min="8" max="8" width="12" hidden="0" customWidth="1"/>
  </x:cols>
  <x:sheetData>
    <x:row r="1">
      <x:c r="A1" s="104" t="str">
        <x:v>Historical Financial Statements Input</x:v>
      </x:c>
      <x:c r="B1" s="104" t="str">
        <x:v>Historical Financial Statements Input</x:v>
      </x:c>
      <x:c r="C1" s="104" t="str">
        <x:v>Historical Financial Statements Input</x:v>
      </x:c>
      <x:c r="D1" s="104" t="str">
        <x:v>Historical Financial Statements Input</x:v>
      </x:c>
      <x:c r="E1" s="104" t="str">
        <x:v>Historical Financial Statements Input</x:v>
      </x:c>
      <x:c r="F1" s="104" t="str">
        <x:v>Historical Financial Statements Input</x:v>
      </x:c>
      <x:c r="G1" s="104" t="str">
        <x:v>Historical Financial Statements Input</x:v>
      </x:c>
      <x:c r="H1" s="104" t="str">
        <x:v>Historical Financial Statements Input</x:v>
      </x:c>
    </x:row>
    <x:row r="2">
      <x:c r="A2" s="105"/>
      <x:c r="B2" s="105"/>
      <x:c r="C2" s="105"/>
      <x:c r="D2" s="105"/>
      <x:c r="E2" s="105"/>
      <x:c r="F2" s="105"/>
      <x:c r="G2" s="105"/>
      <x:c r="H2" s="105"/>
    </x:row>
    <x:row r="3">
      <x:c r="A3" s="108" t="str">
        <x:v>Line item</x:v>
      </x:c>
      <x:c r="B3" s="109" t="str">
        <x:v>FY22A</x:v>
      </x:c>
      <x:c r="C3" s="109" t="str">
        <x:v>FY23A</x:v>
      </x:c>
      <x:c r="D3" s="109" t="str">
        <x:v>FY24A</x:v>
      </x:c>
      <x:c r="E3" s="109" t="str">
        <x:v>FY25A</x:v>
      </x:c>
      <x:c r="F3" s="109" t="str">
        <x:v>FY26A</x:v>
      </x:c>
      <x:c r="G3" s="109" t="str">
        <x:v>Formula / check</x:v>
      </x:c>
      <x:c r="H3" s="110" t="str">
        <x:v>Source ID</x:v>
      </x:c>
    </x:row>
    <x:row r="4">
      <x:c r="A4" s="105" t="str">
        <x:v>Revenue</x:v>
      </x:c>
      <x:c r="B4" s="132" t="n">
        <x:f>'03_Raw_Data'!B4</x:f>
        <x:v>0</x:v>
      </x:c>
      <x:c r="C4" s="132" t="n">
        <x:f>'03_Raw_Data'!C4</x:f>
        <x:v>0</x:v>
      </x:c>
      <x:c r="D4" s="132" t="n">
        <x:f>'03_Raw_Data'!D4</x:f>
        <x:v>0</x:v>
      </x:c>
      <x:c r="E4" s="132" t="n">
        <x:f>'03_Raw_Data'!E4</x:f>
        <x:v>0</x:v>
      </x:c>
      <x:c r="F4" s="132" t="n">
        <x:f>'03_Raw_Data'!F4</x:f>
        <x:v>0</x:v>
      </x:c>
      <x:c r="G4" s="105" t="str">
        <x:v>Input from annual report / results</x:v>
      </x:c>
      <x:c r="H4" s="133" t="str">
        <x:v>S2/S3</x:v>
      </x:c>
    </x:row>
    <x:row r="5">
      <x:c r="A5" s="105" t="str">
        <x:v>Revenue growth</x:v>
      </x:c>
      <x:c r="B5" s="134"/>
      <x:c r="C5" s="134" t="str">
        <x:f>IFERROR(C4/B4-1,"")</x:f>
      </x:c>
      <x:c r="D5" s="134" t="str">
        <x:f>IFERROR(D4/C4-1,"")</x:f>
      </x:c>
      <x:c r="E5" s="134" t="str">
        <x:f>IFERROR(E4/D4-1,"")</x:f>
      </x:c>
      <x:c r="F5" s="134" t="str">
        <x:f>IFERROR(F4/E4-1,"")</x:f>
      </x:c>
      <x:c r="G5" s="105" t="str">
        <x:v>=Revenue / prior year - 1</x:v>
      </x:c>
      <x:c r="H5" s="133"/>
    </x:row>
    <x:row r="6">
      <x:c r="A6" s="105" t="str">
        <x:v>COGS / operating costs</x:v>
      </x:c>
      <x:c r="B6" s="132" t="n">
        <x:f>'03_Raw_Data'!B5</x:f>
        <x:v>0</x:v>
      </x:c>
      <x:c r="C6" s="132" t="n">
        <x:f>'03_Raw_Data'!C5</x:f>
        <x:v>0</x:v>
      </x:c>
      <x:c r="D6" s="132" t="n">
        <x:f>'03_Raw_Data'!D5</x:f>
        <x:v>0</x:v>
      </x:c>
      <x:c r="E6" s="132" t="n">
        <x:f>'03_Raw_Data'!E5</x:f>
        <x:v>0</x:v>
      </x:c>
      <x:c r="F6" s="132" t="n">
        <x:f>'03_Raw_Data'!F5</x:f>
        <x:v>0</x:v>
      </x:c>
      <x:c r="G6" s="105" t="str">
        <x:v>Input; expenses shown as positive values</x:v>
      </x:c>
      <x:c r="H6" s="133" t="str">
        <x:v>S2/S3</x:v>
      </x:c>
    </x:row>
    <x:row r="7">
      <x:c r="A7" s="135" t="str">
        <x:v>Gross profit</x:v>
      </x:c>
      <x:c r="B7" s="136" t="n">
        <x:f>IFERROR(B4-B6,"")</x:f>
        <x:v>0</x:v>
      </x:c>
      <x:c r="C7" s="136" t="n">
        <x:f>IFERROR(C4-C6,"")</x:f>
        <x:v>0</x:v>
      </x:c>
      <x:c r="D7" s="136" t="n">
        <x:f>IFERROR(D4-D6,"")</x:f>
        <x:v>0</x:v>
      </x:c>
      <x:c r="E7" s="136" t="n">
        <x:f>IFERROR(E4-E6,"")</x:f>
        <x:v>0</x:v>
      </x:c>
      <x:c r="F7" s="136" t="n">
        <x:f>IFERROR(F4-F6,"")</x:f>
        <x:v>0</x:v>
      </x:c>
      <x:c r="G7" s="105" t="str">
        <x:v>=Revenue - COGS</x:v>
      </x:c>
      <x:c r="H7" s="133"/>
    </x:row>
    <x:row r="8">
      <x:c r="A8" s="137" t="str">
        <x:v>Gross margin</x:v>
      </x:c>
      <x:c r="B8" s="138" t="str">
        <x:f>IFERROR(B7/B4,"")</x:f>
      </x:c>
      <x:c r="C8" s="138" t="str">
        <x:f>IFERROR(C7/C4,"")</x:f>
      </x:c>
      <x:c r="D8" s="138" t="str">
        <x:f>IFERROR(D7/D4,"")</x:f>
      </x:c>
      <x:c r="E8" s="138" t="str">
        <x:f>IFERROR(E7/E4,"")</x:f>
      </x:c>
      <x:c r="F8" s="138" t="str">
        <x:f>IFERROR(F7/F4,"")</x:f>
      </x:c>
      <x:c r="G8" s="105" t="str">
        <x:v>=Gross profit / Revenue</x:v>
      </x:c>
      <x:c r="H8" s="133"/>
    </x:row>
    <x:row r="9">
      <x:c r="A9" s="105" t="str">
        <x:v>SG&amp;A / other operating expenses</x:v>
      </x:c>
      <x:c r="B9" s="132" t="n">
        <x:f>'03_Raw_Data'!B6</x:f>
        <x:v>0</x:v>
      </x:c>
      <x:c r="C9" s="132" t="n">
        <x:f>'03_Raw_Data'!C6</x:f>
        <x:v>0</x:v>
      </x:c>
      <x:c r="D9" s="132" t="n">
        <x:f>'03_Raw_Data'!D6</x:f>
        <x:v>0</x:v>
      </x:c>
      <x:c r="E9" s="132" t="n">
        <x:f>'03_Raw_Data'!E6</x:f>
        <x:v>0</x:v>
      </x:c>
      <x:c r="F9" s="132" t="n">
        <x:f>'03_Raw_Data'!F6</x:f>
        <x:v>0</x:v>
      </x:c>
      <x:c r="G9" s="105" t="str">
        <x:v>Input; expenses shown as positive values</x:v>
      </x:c>
      <x:c r="H9" s="133" t="str">
        <x:v>S2/S3</x:v>
      </x:c>
    </x:row>
    <x:row r="10">
      <x:c r="A10" s="135" t="str">
        <x:v>EBITDA</x:v>
      </x:c>
      <x:c r="B10" s="136" t="n">
        <x:f>IFERROR(B7-B9,"")</x:f>
        <x:v>0</x:v>
      </x:c>
      <x:c r="C10" s="136" t="n">
        <x:f>IFERROR(C7-C9,"")</x:f>
        <x:v>0</x:v>
      </x:c>
      <x:c r="D10" s="136" t="n">
        <x:f>IFERROR(D7-D9,"")</x:f>
        <x:v>0</x:v>
      </x:c>
      <x:c r="E10" s="136" t="n">
        <x:f>IFERROR(E7-E9,"")</x:f>
        <x:v>0</x:v>
      </x:c>
      <x:c r="F10" s="136" t="n">
        <x:f>IFERROR(F7-F9,"")</x:f>
        <x:v>0</x:v>
      </x:c>
      <x:c r="G10" s="105" t="str">
        <x:v>=Gross profit - SG&amp;A</x:v>
      </x:c>
      <x:c r="H10" s="133"/>
    </x:row>
    <x:row r="11">
      <x:c r="A11" s="137" t="str">
        <x:v>EBITDA margin</x:v>
      </x:c>
      <x:c r="B11" s="138" t="str">
        <x:f>IFERROR(B10/B4,"")</x:f>
      </x:c>
      <x:c r="C11" s="138" t="str">
        <x:f>IFERROR(C10/C4,"")</x:f>
      </x:c>
      <x:c r="D11" s="138" t="str">
        <x:f>IFERROR(D10/D4,"")</x:f>
      </x:c>
      <x:c r="E11" s="138" t="str">
        <x:f>IFERROR(E10/E4,"")</x:f>
      </x:c>
      <x:c r="F11" s="138" t="str">
        <x:f>IFERROR(F10/F4,"")</x:f>
      </x:c>
      <x:c r="G11" s="105" t="str">
        <x:v>=EBITDA / Revenue</x:v>
      </x:c>
      <x:c r="H11" s="133"/>
    </x:row>
    <x:row r="12">
      <x:c r="A12" s="105" t="str">
        <x:v>D&amp;A</x:v>
      </x:c>
      <x:c r="B12" s="132" t="n">
        <x:f>'03_Raw_Data'!B7</x:f>
        <x:v>0</x:v>
      </x:c>
      <x:c r="C12" s="132" t="n">
        <x:f>'03_Raw_Data'!C7</x:f>
        <x:v>0</x:v>
      </x:c>
      <x:c r="D12" s="132" t="n">
        <x:f>'03_Raw_Data'!D7</x:f>
        <x:v>0</x:v>
      </x:c>
      <x:c r="E12" s="132" t="n">
        <x:f>'03_Raw_Data'!E7</x:f>
        <x:v>0</x:v>
      </x:c>
      <x:c r="F12" s="132" t="n">
        <x:f>'03_Raw_Data'!F7</x:f>
        <x:v>0</x:v>
      </x:c>
      <x:c r="G12" s="105" t="str">
        <x:v>Input; expense shown as positive value</x:v>
      </x:c>
      <x:c r="H12" s="133" t="str">
        <x:v>S2/S3</x:v>
      </x:c>
    </x:row>
    <x:row r="13">
      <x:c r="A13" s="137" t="str">
        <x:v>EBIT</x:v>
      </x:c>
      <x:c r="B13" s="139" t="n">
        <x:f>IFERROR(B10-B12,"")</x:f>
        <x:v>0</x:v>
      </x:c>
      <x:c r="C13" s="139" t="n">
        <x:f>IFERROR(C10-C12,"")</x:f>
        <x:v>0</x:v>
      </x:c>
      <x:c r="D13" s="139" t="n">
        <x:f>IFERROR(D10-D12,"")</x:f>
        <x:v>0</x:v>
      </x:c>
      <x:c r="E13" s="139" t="n">
        <x:f>IFERROR(E10-E12,"")</x:f>
        <x:v>0</x:v>
      </x:c>
      <x:c r="F13" s="139" t="n">
        <x:f>IFERROR(F10-F12,"")</x:f>
        <x:v>0</x:v>
      </x:c>
      <x:c r="G13" s="105" t="str">
        <x:v>=EBITDA - D&amp;A</x:v>
      </x:c>
      <x:c r="H13" s="133"/>
    </x:row>
    <x:row r="14">
      <x:c r="A14" s="105" t="str">
        <x:v>Cash taxes</x:v>
      </x:c>
      <x:c r="B14" s="132" t="n">
        <x:f>'03_Raw_Data'!B8</x:f>
        <x:v>0</x:v>
      </x:c>
      <x:c r="C14" s="132" t="n">
        <x:f>'03_Raw_Data'!C8</x:f>
        <x:v>0</x:v>
      </x:c>
      <x:c r="D14" s="132" t="n">
        <x:f>'03_Raw_Data'!D8</x:f>
        <x:v>0</x:v>
      </x:c>
      <x:c r="E14" s="132" t="n">
        <x:f>'03_Raw_Data'!E8</x:f>
        <x:v>0</x:v>
      </x:c>
      <x:c r="F14" s="132" t="n">
        <x:f>'03_Raw_Data'!F8</x:f>
        <x:v>0</x:v>
      </x:c>
      <x:c r="G14" s="105" t="str">
        <x:v>Input or normalized tax estimate</x:v>
      </x:c>
      <x:c r="H14" s="133" t="str">
        <x:v>S2/S3</x:v>
      </x:c>
    </x:row>
    <x:row r="15">
      <x:c r="A15" s="105" t="str">
        <x:v>Net income</x:v>
      </x:c>
      <x:c r="B15" s="132" t="n">
        <x:f>'03_Raw_Data'!B9</x:f>
        <x:v>0</x:v>
      </x:c>
      <x:c r="C15" s="132" t="n">
        <x:f>'03_Raw_Data'!C9</x:f>
        <x:v>0</x:v>
      </x:c>
      <x:c r="D15" s="132" t="n">
        <x:f>'03_Raw_Data'!D9</x:f>
        <x:v>0</x:v>
      </x:c>
      <x:c r="E15" s="132" t="n">
        <x:f>'03_Raw_Data'!E9</x:f>
        <x:v>0</x:v>
      </x:c>
      <x:c r="F15" s="132" t="n">
        <x:f>'03_Raw_Data'!F9</x:f>
        <x:v>0</x:v>
      </x:c>
      <x:c r="G15" s="105" t="str">
        <x:v>Input / tie to P&amp;L</x:v>
      </x:c>
      <x:c r="H15" s="133" t="str">
        <x:v>S2/S3</x:v>
      </x:c>
    </x:row>
    <x:row r="16">
      <x:c r="A16" s="105" t="str">
        <x:v>Cash and equivalents</x:v>
      </x:c>
      <x:c r="B16" s="132" t="n">
        <x:f>'03_Raw_Data'!B10</x:f>
        <x:v>0</x:v>
      </x:c>
      <x:c r="C16" s="132" t="n">
        <x:f>'03_Raw_Data'!C10</x:f>
        <x:v>0</x:v>
      </x:c>
      <x:c r="D16" s="132" t="n">
        <x:f>'03_Raw_Data'!D10</x:f>
        <x:v>0</x:v>
      </x:c>
      <x:c r="E16" s="132" t="n">
        <x:f>'03_Raw_Data'!E10</x:f>
        <x:v>0</x:v>
      </x:c>
      <x:c r="F16" s="132" t="n">
        <x:f>'03_Raw_Data'!F10</x:f>
        <x:v>0</x:v>
      </x:c>
      <x:c r="G16" s="105" t="str">
        <x:v>Input from balance sheet</x:v>
      </x:c>
      <x:c r="H16" s="133" t="str">
        <x:v>S2/S3</x:v>
      </x:c>
    </x:row>
    <x:row r="17">
      <x:c r="A17" s="105" t="str">
        <x:v>Debt</x:v>
      </x:c>
      <x:c r="B17" s="132" t="n">
        <x:f>'03_Raw_Data'!B11</x:f>
        <x:v>0</x:v>
      </x:c>
      <x:c r="C17" s="132" t="n">
        <x:f>'03_Raw_Data'!C11</x:f>
        <x:v>0</x:v>
      </x:c>
      <x:c r="D17" s="132" t="n">
        <x:f>'03_Raw_Data'!D11</x:f>
        <x:v>0</x:v>
      </x:c>
      <x:c r="E17" s="132" t="n">
        <x:f>'03_Raw_Data'!E11</x:f>
        <x:v>0</x:v>
      </x:c>
      <x:c r="F17" s="132" t="n">
        <x:f>'03_Raw_Data'!F11</x:f>
        <x:v>0</x:v>
      </x:c>
      <x:c r="G17" s="105" t="str">
        <x:v>Input from balance sheet</x:v>
      </x:c>
      <x:c r="H17" s="133" t="str">
        <x:v>S2/S3</x:v>
      </x:c>
    </x:row>
    <x:row r="18">
      <x:c r="A18" s="135" t="str">
        <x:v>Net debt / (cash)</x:v>
      </x:c>
      <x:c r="B18" s="136" t="n">
        <x:f>IFERROR(B17-B16,"")</x:f>
        <x:v>0</x:v>
      </x:c>
      <x:c r="C18" s="136" t="n">
        <x:f>IFERROR(C17-C16,"")</x:f>
        <x:v>0</x:v>
      </x:c>
      <x:c r="D18" s="136" t="n">
        <x:f>IFERROR(D17-D16,"")</x:f>
        <x:v>0</x:v>
      </x:c>
      <x:c r="E18" s="136" t="n">
        <x:f>IFERROR(E17-E16,"")</x:f>
        <x:v>0</x:v>
      </x:c>
      <x:c r="F18" s="136" t="n">
        <x:f>IFERROR(F17-F16,"")</x:f>
        <x:v>0</x:v>
      </x:c>
      <x:c r="G18" s="105" t="str">
        <x:v>=Debt - Cash</x:v>
      </x:c>
      <x:c r="H18" s="133"/>
    </x:row>
    <x:row r="19">
      <x:c r="A19" s="135" t="str">
        <x:v>Current assets ex-cash</x:v>
      </x:c>
      <x:c r="B19" s="140" t="n">
        <x:f>'03_Raw_Data'!B12</x:f>
        <x:v>0</x:v>
      </x:c>
      <x:c r="C19" s="140" t="n">
        <x:f>'03_Raw_Data'!C12</x:f>
        <x:v>0</x:v>
      </x:c>
      <x:c r="D19" s="140" t="n">
        <x:f>'03_Raw_Data'!D12</x:f>
        <x:v>0</x:v>
      </x:c>
      <x:c r="E19" s="140" t="n">
        <x:f>'03_Raw_Data'!E12</x:f>
        <x:v>0</x:v>
      </x:c>
      <x:c r="F19" s="140" t="n">
        <x:f>'03_Raw_Data'!F12</x:f>
        <x:v>0</x:v>
      </x:c>
      <x:c r="G19" s="105" t="str">
        <x:v>Input for NWC</x:v>
      </x:c>
      <x:c r="H19" s="133" t="str">
        <x:v>S2/S3</x:v>
      </x:c>
    </x:row>
    <x:row r="20">
      <x:c r="A20" s="135" t="str">
        <x:v>Current liabilities ex-debt</x:v>
      </x:c>
      <x:c r="B20" s="140" t="n">
        <x:f>'03_Raw_Data'!B13</x:f>
        <x:v>0</x:v>
      </x:c>
      <x:c r="C20" s="140" t="n">
        <x:f>'03_Raw_Data'!C13</x:f>
        <x:v>0</x:v>
      </x:c>
      <x:c r="D20" s="140" t="n">
        <x:f>'03_Raw_Data'!D13</x:f>
        <x:v>0</x:v>
      </x:c>
      <x:c r="E20" s="140" t="n">
        <x:f>'03_Raw_Data'!E13</x:f>
        <x:v>0</x:v>
      </x:c>
      <x:c r="F20" s="140" t="n">
        <x:f>'03_Raw_Data'!F13</x:f>
        <x:v>0</x:v>
      </x:c>
      <x:c r="G20" s="105" t="str">
        <x:v>Input for NWC</x:v>
      </x:c>
      <x:c r="H20" s="133" t="str">
        <x:v>S2/S3</x:v>
      </x:c>
    </x:row>
    <x:row r="21">
      <x:c r="A21" s="135" t="str">
        <x:v>Net working capital</x:v>
      </x:c>
      <x:c r="B21" s="136" t="n">
        <x:f>IFERROR(B19-B20,"")</x:f>
        <x:v>0</x:v>
      </x:c>
      <x:c r="C21" s="136" t="n">
        <x:f>IFERROR(C19-C20,"")</x:f>
        <x:v>0</x:v>
      </x:c>
      <x:c r="D21" s="136" t="n">
        <x:f>IFERROR(D19-D20,"")</x:f>
        <x:v>0</x:v>
      </x:c>
      <x:c r="E21" s="136" t="n">
        <x:f>IFERROR(E19-E20,"")</x:f>
        <x:v>0</x:v>
      </x:c>
      <x:c r="F21" s="136" t="n">
        <x:f>IFERROR(F19-F20,"")</x:f>
        <x:v>0</x:v>
      </x:c>
      <x:c r="G21" s="105" t="str">
        <x:v>=Current assets ex-cash - current liabilities ex-debt</x:v>
      </x:c>
      <x:c r="H21" s="133"/>
    </x:row>
    <x:row r="22">
      <x:c r="A22" s="137" t="str">
        <x:v>Change in NWC</x:v>
      </x:c>
      <x:c r="B22" s="139"/>
      <x:c r="C22" s="139" t="n">
        <x:f>IFERROR(C21-B21,"")</x:f>
        <x:v>0</x:v>
      </x:c>
      <x:c r="D22" s="139" t="n">
        <x:f>IFERROR(D21-C21,"")</x:f>
        <x:v>0</x:v>
      </x:c>
      <x:c r="E22" s="139" t="n">
        <x:f>IFERROR(E21-D21,"")</x:f>
        <x:v>0</x:v>
      </x:c>
      <x:c r="F22" s="139" t="n">
        <x:f>IFERROR(F21-E21,"")</x:f>
        <x:v>0</x:v>
      </x:c>
      <x:c r="G22" s="105" t="str">
        <x:v>=NWC - prior year NWC</x:v>
      </x:c>
      <x:c r="H22" s="133"/>
    </x:row>
    <x:row r="23">
      <x:c r="A23" s="105" t="str">
        <x:v>Capex</x:v>
      </x:c>
      <x:c r="B23" s="132" t="n">
        <x:f>'03_Raw_Data'!B14</x:f>
        <x:v>0</x:v>
      </x:c>
      <x:c r="C23" s="132" t="n">
        <x:f>'03_Raw_Data'!C14</x:f>
        <x:v>0</x:v>
      </x:c>
      <x:c r="D23" s="132" t="n">
        <x:f>'03_Raw_Data'!D14</x:f>
        <x:v>0</x:v>
      </x:c>
      <x:c r="E23" s="132" t="n">
        <x:f>'03_Raw_Data'!E14</x:f>
        <x:v>0</x:v>
      </x:c>
      <x:c r="F23" s="132" t="n">
        <x:f>'03_Raw_Data'!F14</x:f>
        <x:v>0</x:v>
      </x:c>
      <x:c r="G23" s="105" t="str">
        <x:v>Input from cash flow statement; cash outflow as positive</x:v>
      </x:c>
      <x:c r="H23" s="133" t="str">
        <x:v>S2/S3</x:v>
      </x:c>
    </x:row>
    <x:row r="24">
      <x:c r="A24" s="105" t="str">
        <x:v>Diluted shares (mm)</x:v>
      </x:c>
      <x:c r="B24" s="132" t="n">
        <x:f>'03_Raw_Data'!B15</x:f>
        <x:v>0</x:v>
      </x:c>
      <x:c r="C24" s="132" t="n">
        <x:f>'03_Raw_Data'!C15</x:f>
        <x:v>0</x:v>
      </x:c>
      <x:c r="D24" s="132" t="n">
        <x:f>'03_Raw_Data'!D15</x:f>
        <x:v>0</x:v>
      </x:c>
      <x:c r="E24" s="132" t="n">
        <x:f>'03_Raw_Data'!E15</x:f>
        <x:v>0</x:v>
      </x:c>
      <x:c r="F24" s="132" t="n">
        <x:f>'03_Raw_Data'!F15</x:f>
        <x:v>0</x:v>
      </x:c>
      <x:c r="G24" s="105" t="str">
        <x:v>Input from filings / exchange</x:v>
      </x:c>
      <x:c r="H24" s="133" t="str">
        <x:v>S9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4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46" hidden="0" customWidth="1"/>
  </x:cols>
  <x:sheetData>
    <x:row r="1">
      <x:c r="A1" s="104" t="str">
        <x:v>Assumptions</x:v>
      </x:c>
      <x:c r="B1" s="104" t="str">
        <x:v>Assumptions</x:v>
      </x:c>
      <x:c r="C1" s="104" t="str">
        <x:v>Assumptions</x:v>
      </x:c>
      <x:c r="D1" s="104" t="str">
        <x:v>Assumptions</x:v>
      </x:c>
      <x:c r="E1" s="104" t="str">
        <x:v>Assumptions</x:v>
      </x:c>
      <x:c r="F1" s="104" t="str">
        <x:v>Assumptions</x:v>
      </x:c>
      <x:c r="G1" s="104" t="str">
        <x:v>Assumptions</x:v>
      </x:c>
      <x:c r="H1" s="104" t="str">
        <x:v>Assumptions</x:v>
      </x:c>
    </x:row>
    <x:row r="2">
      <x:c r="A2" s="105"/>
      <x:c r="B2" s="105"/>
      <x:c r="C2" s="105"/>
      <x:c r="D2" s="105"/>
      <x:c r="E2" s="105"/>
      <x:c r="F2" s="105"/>
      <x:c r="G2" s="105"/>
      <x:c r="H2" s="105"/>
    </x:row>
    <x:row r="3">
      <x:c r="A3" s="107" t="str">
        <x:v>Operating Forecast Drivers</x:v>
      </x:c>
      <x:c r="B3" s="107" t="str">
        <x:v>Operating Forecast Drivers</x:v>
      </x:c>
      <x:c r="C3" s="107" t="str">
        <x:v>Operating Forecast Drivers</x:v>
      </x:c>
      <x:c r="D3" s="107" t="str">
        <x:v>Operating Forecast Drivers</x:v>
      </x:c>
      <x:c r="E3" s="107" t="str">
        <x:v>Operating Forecast Drivers</x:v>
      </x:c>
      <x:c r="F3" s="107" t="str">
        <x:v>Operating Forecast Drivers</x:v>
      </x:c>
      <x:c r="G3" s="107" t="str">
        <x:v>Operating Forecast Drivers</x:v>
      </x:c>
      <x:c r="H3" s="107" t="str">
        <x:v>Operating Forecast Drivers</x:v>
      </x:c>
    </x:row>
    <x:row r="4">
      <x:c r="A4" s="108" t="str">
        <x:v>Driver</x:v>
      </x:c>
      <x:c r="B4" s="109" t="str">
        <x:v>FY27E</x:v>
      </x:c>
      <x:c r="C4" s="109" t="str">
        <x:v>FY28E</x:v>
      </x:c>
      <x:c r="D4" s="109" t="str">
        <x:v>FY29E</x:v>
      </x:c>
      <x:c r="E4" s="109" t="str">
        <x:v>FY30E</x:v>
      </x:c>
      <x:c r="F4" s="109" t="str">
        <x:v>FY31E</x:v>
      </x:c>
      <x:c r="G4" s="109" t="str">
        <x:v>Source / basis</x:v>
      </x:c>
      <x:c r="H4" s="110" t="str">
        <x:v>Notes</x:v>
      </x:c>
    </x:row>
    <x:row r="5">
      <x:c r="A5" s="105" t="str">
        <x:v>Revenue growth</x:v>
      </x:c>
      <x:c r="B5" s="145" t="n">
        <x:v>0.22</x:v>
      </x:c>
      <x:c r="C5" s="145" t="n">
        <x:v>0.2</x:v>
      </x:c>
      <x:c r="D5" s="145" t="n">
        <x:v>0.18</x:v>
      </x:c>
      <x:c r="E5" s="145" t="n">
        <x:v>0.16</x:v>
      </x:c>
      <x:c r="F5" s="145" t="n">
        <x:v>0.14</x:v>
      </x:c>
      <x:c r="G5" s="96" t="str">
        <x:v>User input</x:v>
      </x:c>
      <x:c r="H5" s="96" t="str">
        <x:v>Initial placeholder ramp; replace with segment build from food delivery + Blinkit + Hyperpure.</x:v>
      </x:c>
    </x:row>
    <x:row r="6">
      <x:c r="A6" s="105" t="str">
        <x:v>EBITDA margin</x:v>
      </x:c>
      <x:c r="B6" s="145" t="n">
        <x:v>0.04</x:v>
      </x:c>
      <x:c r="C6" s="145" t="n">
        <x:v>0.06</x:v>
      </x:c>
      <x:c r="D6" s="145" t="n">
        <x:v>0.08</x:v>
      </x:c>
      <x:c r="E6" s="145" t="n">
        <x:v>0.1</x:v>
      </x:c>
      <x:c r="F6" s="145" t="n">
        <x:v>0.12</x:v>
      </x:c>
      <x:c r="G6" s="96" t="str">
        <x:v>User input</x:v>
      </x:c>
      <x:c r="H6" s="96" t="str">
        <x:v>Margin expansion should be justified by contribution margin and scale economics.</x:v>
      </x:c>
    </x:row>
    <x:row r="7">
      <x:c r="A7" s="105" t="str">
        <x:v>D&amp;A / revenue</x:v>
      </x:c>
      <x:c r="B7" s="145" t="n">
        <x:v>0.025</x:v>
      </x:c>
      <x:c r="C7" s="145" t="n">
        <x:v>0.024</x:v>
      </x:c>
      <x:c r="D7" s="145" t="n">
        <x:v>0.023</x:v>
      </x:c>
      <x:c r="E7" s="145" t="n">
        <x:v>0.022</x:v>
      </x:c>
      <x:c r="F7" s="145" t="n">
        <x:v>0.021</x:v>
      </x:c>
      <x:c r="G7" s="96" t="str">
        <x:v>User input</x:v>
      </x:c>
      <x:c r="H7" s="96" t="str">
        <x:v>Tie to PPE/intangibles after full statement build.</x:v>
      </x:c>
    </x:row>
    <x:row r="8">
      <x:c r="A8" s="105" t="str">
        <x:v>Capex / revenue</x:v>
      </x:c>
      <x:c r="B8" s="145" t="n">
        <x:v>0.035</x:v>
      </x:c>
      <x:c r="C8" s="145" t="n">
        <x:v>0.034</x:v>
      </x:c>
      <x:c r="D8" s="145" t="n">
        <x:v>0.033</x:v>
      </x:c>
      <x:c r="E8" s="145" t="n">
        <x:v>0.032</x:v>
      </x:c>
      <x:c r="F8" s="145" t="n">
        <x:v>0.031</x:v>
      </x:c>
      <x:c r="G8" s="96" t="str">
        <x:v>User input</x:v>
      </x:c>
      <x:c r="H8" s="96" t="str">
        <x:v>Include technology, dark-store, and logistics infrastructure where reported.</x:v>
      </x:c>
    </x:row>
    <x:row r="9">
      <x:c r="A9" s="105" t="str">
        <x:v>NWC / revenue</x:v>
      </x:c>
      <x:c r="B9" s="145" t="n">
        <x:v>0.02</x:v>
      </x:c>
      <x:c r="C9" s="145" t="n">
        <x:v>0.02</x:v>
      </x:c>
      <x:c r="D9" s="145" t="n">
        <x:v>0.02</x:v>
      </x:c>
      <x:c r="E9" s="145" t="n">
        <x:v>0.02</x:v>
      </x:c>
      <x:c r="F9" s="145" t="n">
        <x:v>0.02</x:v>
      </x:c>
      <x:c r="G9" s="96" t="str">
        <x:v>User input</x:v>
      </x:c>
      <x:c r="H9" s="96" t="str">
        <x:v>Use a working capital schedule once historical actuals are entered.</x:v>
      </x:c>
    </x:row>
    <x:row r="10">
      <x:c r="A10" s="105" t="str">
        <x:v>Cash tax rate</x:v>
      </x:c>
      <x:c r="B10" s="145" t="n">
        <x:v>0.25</x:v>
      </x:c>
      <x:c r="C10" s="145" t="n">
        <x:v>0.25</x:v>
      </x:c>
      <x:c r="D10" s="145" t="n">
        <x:v>0.25</x:v>
      </x:c>
      <x:c r="E10" s="145" t="n">
        <x:v>0.25</x:v>
      </x:c>
      <x:c r="F10" s="145" t="n">
        <x:v>0.25</x:v>
      </x:c>
      <x:c r="G10" s="96" t="str">
        <x:v>User input</x:v>
      </x:c>
      <x:c r="H10" s="96" t="str">
        <x:v>Use normalized effective tax rate, not early-profitability noise.</x:v>
      </x:c>
    </x:row>
    <x:row r="11">
      <x:c r="A11" s="105" t="str">
        <x:v>Share count growth</x:v>
      </x:c>
      <x:c r="B11" s="145" t="n">
        <x:v>0.01</x:v>
      </x:c>
      <x:c r="C11" s="145" t="n">
        <x:v>0.01</x:v>
      </x:c>
      <x:c r="D11" s="145" t="n">
        <x:v>0.01</x:v>
      </x:c>
      <x:c r="E11" s="145" t="n">
        <x:v>0.01</x:v>
      </x:c>
      <x:c r="F11" s="145" t="n">
        <x:v>0.01</x:v>
      </x:c>
      <x:c r="G11" s="96" t="str">
        <x:v>User input</x:v>
      </x:c>
      <x:c r="H11" s="96" t="str">
        <x:v>Tie to diluted shares and ESOP dilution.</x:v>
      </x:c>
    </x:row>
    <x:row r="12">
      <x:c r="A12" s="105" t="str">
        <x:v>Revenue sanity low</x:v>
      </x:c>
      <x:c r="B12" s="145" t="n">
        <x:v>0.05</x:v>
      </x:c>
      <x:c r="C12" s="145" t="n">
        <x:v>0.05</x:v>
      </x:c>
      <x:c r="D12" s="145" t="n">
        <x:v>0.05</x:v>
      </x:c>
      <x:c r="E12" s="145" t="n">
        <x:v>0.05</x:v>
      </x:c>
      <x:c r="F12" s="145" t="n">
        <x:v>0.05</x:v>
      </x:c>
      <x:c r="G12" s="96" t="str">
        <x:v>Check threshold</x:v>
      </x:c>
      <x:c r="H12" s="96" t="str">
        <x:v>Growth below this warns but does not fail the model.</x:v>
      </x:c>
    </x:row>
    <x:row r="13">
      <x:c r="A13" s="105" t="str">
        <x:v>Revenue sanity high</x:v>
      </x:c>
      <x:c r="B13" s="145" t="n">
        <x:v>0.4</x:v>
      </x:c>
      <x:c r="C13" s="145" t="n">
        <x:v>0.4</x:v>
      </x:c>
      <x:c r="D13" s="145" t="n">
        <x:v>0.4</x:v>
      </x:c>
      <x:c r="E13" s="145" t="n">
        <x:v>0.4</x:v>
      </x:c>
      <x:c r="F13" s="145" t="n">
        <x:v>0.4</x:v>
      </x:c>
      <x:c r="G13" s="96" t="str">
        <x:v>Check threshold</x:v>
      </x:c>
      <x:c r="H13" s="96" t="str">
        <x:v>Growth above this requires explicit explanation.</x:v>
      </x:c>
    </x:row>
    <x:row r="14">
      <x:c r="A14" s="105" t="str">
        <x:v>Target recommendation</x:v>
      </x:c>
      <x:c r="B14" s="115" t="str">
        <x:v>Hold</x:v>
      </x:c>
      <x:c r="C14" s="115"/>
      <x:c r="D14" s="115"/>
      <x:c r="E14" s="115"/>
      <x:c r="F14" s="115"/>
      <x:c r="G14" s="96" t="str">
        <x:v>User input</x:v>
      </x:c>
      <x:c r="H14" s="96" t="str">
        <x:v>Buy / Hold / Sell after valuation is source-backed.</x:v>
      </x:c>
    </x:row>
    <x:row r="15">
      <x:c r="A15" s="105"/>
      <x:c r="B15" s="105"/>
      <x:c r="C15" s="105"/>
      <x:c r="D15" s="105"/>
      <x:c r="E15" s="105"/>
      <x:c r="F15" s="105"/>
      <x:c r="G15" s="105"/>
      <x:c r="H15" s="105"/>
    </x:row>
    <x:row r="16">
      <x:c r="A16" s="105"/>
      <x:c r="B16" s="105"/>
      <x:c r="C16" s="105"/>
      <x:c r="D16" s="105"/>
      <x:c r="E16" s="105"/>
      <x:c r="F16" s="105"/>
      <x:c r="G16" s="105"/>
      <x:c r="H16" s="105"/>
    </x:row>
    <x:row r="17">
      <x:c r="A17" s="105" t="str">
        <x:v>Valuation date</x:v>
      </x:c>
      <x:c r="B17" s="146" t="n">
        <x:v>46204</x:v>
      </x:c>
      <x:c r="C17" s="105"/>
      <x:c r="D17" s="105"/>
      <x:c r="E17" s="105"/>
      <x:c r="F17" s="105"/>
      <x:c r="G17" s="105"/>
      <x:c r="H17" s="105"/>
    </x:row>
    <x:row r="18">
      <x:c r="A18" s="105" t="str">
        <x:v>Mid-year convention</x:v>
      </x:c>
      <x:c r="B18" s="115" t="str">
        <x:v>Yes</x:v>
      </x:c>
      <x:c r="C18" s="105"/>
      <x:c r="D18" s="105"/>
      <x:c r="E18" s="105"/>
      <x:c r="F18" s="105"/>
      <x:c r="G18" s="105"/>
      <x:c r="H18" s="105"/>
    </x:row>
    <x:row r="19">
      <x:c r="A19" s="105"/>
      <x:c r="B19" s="105"/>
      <x:c r="C19" s="105"/>
      <x:c r="D19" s="105"/>
      <x:c r="E19" s="105"/>
      <x:c r="F19" s="105"/>
      <x:c r="G19" s="105"/>
      <x:c r="H19" s="105"/>
    </x:row>
    <x:row r="20">
      <x:c r="A20" s="107" t="str">
        <x:v>WACC / Terminal Value</x:v>
      </x:c>
      <x:c r="B20" s="107" t="str">
        <x:v>WACC / Terminal Value</x:v>
      </x:c>
      <x:c r="C20" s="107" t="str">
        <x:v>WACC / Terminal Value</x:v>
      </x:c>
      <x:c r="D20" s="107" t="str">
        <x:v>WACC / Terminal Value</x:v>
      </x:c>
      <x:c r="E20" s="105"/>
      <x:c r="F20" s="105"/>
      <x:c r="G20" s="105"/>
      <x:c r="H20" s="105"/>
    </x:row>
    <x:row r="21">
      <x:c r="A21" s="105" t="str">
        <x:v>Risk-free rate</x:v>
      </x:c>
      <x:c r="B21" s="145" t="n">
        <x:v>0.069</x:v>
      </x:c>
      <x:c r="C21" s="105"/>
      <x:c r="D21" s="108" t="str">
        <x:v>Sensitivity Inputs</x:v>
      </x:c>
      <x:c r="E21" s="109" t="str">
        <x:v>Low</x:v>
      </x:c>
      <x:c r="F21" s="109" t="str">
        <x:v>Mid</x:v>
      </x:c>
      <x:c r="G21" s="109" t="str">
        <x:v>High</x:v>
      </x:c>
      <x:c r="H21" s="110" t="str">
        <x:v>Notes</x:v>
      </x:c>
    </x:row>
    <x:row r="22">
      <x:c r="A22" s="105" t="str">
        <x:v>Levered beta</x:v>
      </x:c>
      <x:c r="B22" s="145" t="n">
        <x:v>1.2</x:v>
      </x:c>
      <x:c r="C22" s="105"/>
      <x:c r="D22" s="105" t="str">
        <x:v>WACC range</x:v>
      </x:c>
      <x:c r="E22" s="145" t="n">
        <x:v>0.1</x:v>
      </x:c>
      <x:c r="F22" s="145" t="n">
        <x:v>0.12</x:v>
      </x:c>
      <x:c r="G22" s="145" t="n">
        <x:v>0.14</x:v>
      </x:c>
      <x:c r="H22" s="105" t="str">
        <x:v>Used in DCF sensitivity table</x:v>
      </x:c>
    </x:row>
    <x:row r="23">
      <x:c r="A23" s="105" t="str">
        <x:v>Equity risk premium</x:v>
      </x:c>
      <x:c r="B23" s="145" t="n">
        <x:v>0.055</x:v>
      </x:c>
      <x:c r="C23" s="105"/>
      <x:c r="D23" s="105" t="str">
        <x:v>Terminal growth range</x:v>
      </x:c>
      <x:c r="E23" s="145" t="n">
        <x:v>0.03</x:v>
      </x:c>
      <x:c r="F23" s="145" t="n">
        <x:v>0.04</x:v>
      </x:c>
      <x:c r="G23" s="145" t="n">
        <x:v>0.05</x:v>
      </x:c>
      <x:c r="H23" s="105" t="str">
        <x:v>Must stay below WACC</x:v>
      </x:c>
    </x:row>
    <x:row r="24">
      <x:c r="A24" s="105" t="str">
        <x:v>Size / company-specific premium</x:v>
      </x:c>
      <x:c r="B24" s="145" t="n">
        <x:v>0</x:v>
      </x:c>
      <x:c r="C24" s="105"/>
      <x:c r="D24" s="105" t="str">
        <x:v>Exit multiple range</x:v>
      </x:c>
      <x:c r="E24" s="147" t="n">
        <x:v>20</x:v>
      </x:c>
      <x:c r="F24" s="147" t="n">
        <x:v>25</x:v>
      </x:c>
      <x:c r="G24" s="147" t="n">
        <x:v>30</x:v>
      </x:c>
      <x:c r="H24" s="105" t="str">
        <x:v>Cross-check against peers</x:v>
      </x:c>
    </x:row>
    <x:row r="25">
      <x:c r="A25" s="105" t="str">
        <x:v>Pre-tax cost of debt</x:v>
      </x:c>
      <x:c r="B25" s="145" t="n">
        <x:v>0.085</x:v>
      </x:c>
      <x:c r="C25" s="105"/>
      <x:c r="D25" s="105" t="str">
        <x:v>Comps low haircut</x:v>
      </x:c>
      <x:c r="E25" s="145" t="n">
        <x:v>0.15</x:v>
      </x:c>
      <x:c r="F25" s="105"/>
      <x:c r="G25" s="105"/>
      <x:c r="H25" s="105" t="str">
        <x:v>Low case = median less haircut</x:v>
      </x:c>
    </x:row>
    <x:row r="26">
      <x:c r="A26" s="105" t="str">
        <x:v>Tax rate</x:v>
      </x:c>
      <x:c r="B26" s="145" t="n">
        <x:v>0.25</x:v>
      </x:c>
      <x:c r="C26" s="105"/>
      <x:c r="D26" s="105" t="str">
        <x:v>Comps high premium</x:v>
      </x:c>
      <x:c r="E26" s="145" t="n">
        <x:v>0.15</x:v>
      </x:c>
      <x:c r="F26" s="105"/>
      <x:c r="G26" s="105"/>
      <x:c r="H26" s="105" t="str">
        <x:v>High case = median plus premium</x:v>
      </x:c>
    </x:row>
    <x:row r="27">
      <x:c r="A27" s="105" t="str">
        <x:v>Debt / total capital</x:v>
      </x:c>
      <x:c r="B27" s="145" t="n">
        <x:v>0.05</x:v>
      </x:c>
      <x:c r="C27" s="105"/>
      <x:c r="D27" s="105" t="str">
        <x:v>Precedent premium</x:v>
      </x:c>
      <x:c r="E27" s="145" t="n">
        <x:v>0.2</x:v>
      </x:c>
      <x:c r="F27" s="105"/>
      <x:c r="G27" s="105"/>
      <x:c r="H27" s="105" t="str">
        <x:v>Typical control premium placeholder</x:v>
      </x:c>
    </x:row>
    <x:row r="28">
      <x:c r="A28" s="105" t="str">
        <x:v>Equity / total capital</x:v>
      </x:c>
      <x:c r="B28" s="134" t="n">
        <x:f>1-B27</x:f>
        <x:v>0.95</x:v>
      </x:c>
      <x:c r="C28" s="105"/>
      <x:c r="D28" s="105"/>
      <x:c r="E28" s="105"/>
      <x:c r="F28" s="105"/>
      <x:c r="G28" s="105"/>
      <x:c r="H28" s="105"/>
    </x:row>
    <x:row r="29">
      <x:c r="A29" s="105" t="str">
        <x:v>Cost of equity</x:v>
      </x:c>
      <x:c r="B29" s="134" t="n">
        <x:f>B21+B22*B23+B24</x:f>
        <x:v>0.135</x:v>
      </x:c>
      <x:c r="C29" s="105"/>
      <x:c r="D29" s="105"/>
      <x:c r="E29" s="105"/>
      <x:c r="F29" s="105"/>
      <x:c r="G29" s="105"/>
      <x:c r="H29" s="105"/>
    </x:row>
    <x:row r="30">
      <x:c r="A30" s="105" t="str">
        <x:v>After-tax cost of debt</x:v>
      </x:c>
      <x:c r="B30" s="134" t="n">
        <x:f>B25*(1-B26)</x:f>
        <x:v>0.06375</x:v>
      </x:c>
      <x:c r="C30" s="105"/>
      <x:c r="D30" s="105"/>
      <x:c r="E30" s="105"/>
      <x:c r="F30" s="105"/>
      <x:c r="G30" s="105"/>
      <x:c r="H30" s="105"/>
    </x:row>
    <x:row r="31">
      <x:c r="A31" s="105" t="str">
        <x:v>WACC</x:v>
      </x:c>
      <x:c r="B31" s="134" t="n">
        <x:f>B29*B28+B30*B27</x:f>
        <x:v>0.1314375</x:v>
      </x:c>
      <x:c r="C31" s="105"/>
      <x:c r="D31" s="105"/>
      <x:c r="E31" s="105"/>
      <x:c r="F31" s="105"/>
      <x:c r="G31" s="105"/>
      <x:c r="H31" s="105"/>
    </x:row>
    <x:row r="32">
      <x:c r="A32" s="105" t="str">
        <x:v>Net debt / (cash)</x:v>
      </x:c>
      <x:c r="B32" s="121" t="n">
        <x:v>0</x:v>
      </x:c>
      <x:c r="C32" s="105"/>
      <x:c r="D32" s="105"/>
      <x:c r="E32" s="105"/>
      <x:c r="F32" s="105"/>
      <x:c r="G32" s="105"/>
      <x:c r="H32" s="105"/>
    </x:row>
    <x:row r="33">
      <x:c r="A33" s="105" t="str">
        <x:v>Diluted shares outstanding (mm)</x:v>
      </x:c>
      <x:c r="B33" s="122" t="n">
        <x:v>8900</x:v>
      </x:c>
      <x:c r="C33" s="105"/>
      <x:c r="D33" s="105"/>
      <x:c r="E33" s="105"/>
      <x:c r="F33" s="105"/>
      <x:c r="G33" s="105"/>
      <x:c r="H33" s="105"/>
    </x:row>
    <x:row r="34">
      <x:c r="A34" s="105" t="str">
        <x:v>Current share price</x:v>
      </x:c>
      <x:c r="B34" s="148" t="n">
        <x:v>0</x:v>
      </x:c>
      <x:c r="C34" s="105"/>
      <x:c r="D34" s="105"/>
      <x:c r="E34" s="105"/>
      <x:c r="F34" s="105"/>
      <x:c r="G34" s="105"/>
      <x:c r="H34" s="105"/>
    </x:row>
    <x:row r="35">
      <x:c r="A35" s="105" t="str">
        <x:v>Terminal growth</x:v>
      </x:c>
      <x:c r="B35" s="145" t="n">
        <x:v>0.04</x:v>
      </x:c>
      <x:c r="C35" s="105"/>
      <x:c r="D35" s="105"/>
      <x:c r="E35" s="105"/>
      <x:c r="F35" s="105"/>
      <x:c r="G35" s="105"/>
      <x:c r="H35" s="105"/>
    </x:row>
    <x:row r="36">
      <x:c r="A36" s="105" t="str">
        <x:v>Exit EBITDA multiple</x:v>
      </x:c>
      <x:c r="B36" s="147" t="n">
        <x:v>25</x:v>
      </x:c>
      <x:c r="C36" s="105"/>
      <x:c r="D36" s="105"/>
      <x:c r="E36" s="105"/>
      <x:c r="F36" s="105"/>
      <x:c r="G36" s="105"/>
      <x:c r="H36" s="105"/>
    </x:row>
  </x:sheetData>
  <x:mergeCells>
    <x:mergeCell ref="A1:H1"/>
    <x:mergeCell ref="A3:H3"/>
    <x:mergeCell ref="A20:D20"/>
  </x:mergeCells>
  <x:pageMargins left="0.7" right="0.7" top="0.75" bottom="0.75" header="0.3" footer="0.3"/>
  <x:legacyDrawing xmlns:r="http://schemas.openxmlformats.org/officeDocument/2006/relationships" r:id="R0af547cbb5f54dda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104" t="str">
        <x:v>Operating Forecast Model</x:v>
      </x:c>
      <x:c r="B1" s="104" t="str">
        <x:v>Operating Forecast Model</x:v>
      </x:c>
      <x:c r="C1" s="104" t="str">
        <x:v>Operating Forecast Model</x:v>
      </x:c>
      <x:c r="D1" s="104" t="str">
        <x:v>Operating Forecast Model</x:v>
      </x:c>
      <x:c r="E1" s="104" t="str">
        <x:v>Operating Forecast Model</x:v>
      </x:c>
      <x:c r="F1" s="104" t="str">
        <x:v>Operating Forecast Model</x:v>
      </x:c>
      <x:c r="G1" s="104" t="str">
        <x:v>Operating Forecast Model</x:v>
      </x:c>
    </x:row>
    <x:row r="2">
      <x:c r="A2" s="105"/>
      <x:c r="B2" s="105"/>
      <x:c r="C2" s="105"/>
      <x:c r="D2" s="105"/>
      <x:c r="E2" s="105"/>
      <x:c r="F2" s="105"/>
      <x:c r="G2" s="105"/>
    </x:row>
    <x:row r="3">
      <x:c r="A3" s="108" t="str">
        <x:v>Line item</x:v>
      </x:c>
      <x:c r="B3" s="109" t="str">
        <x:v>FY26A</x:v>
      </x:c>
      <x:c r="C3" s="109" t="str">
        <x:v>FY27E</x:v>
      </x:c>
      <x:c r="D3" s="109" t="str">
        <x:v>FY28E</x:v>
      </x:c>
      <x:c r="E3" s="109" t="str">
        <x:v>FY29E</x:v>
      </x:c>
      <x:c r="F3" s="109" t="str">
        <x:v>FY30E</x:v>
      </x:c>
      <x:c r="G3" s="110" t="str">
        <x:v>FY31E</x:v>
      </x:c>
    </x:row>
    <x:row r="4">
      <x:c r="A4" s="105" t="str">
        <x:v>Revenue</x:v>
      </x:c>
      <x:c r="B4" s="132" t="n">
        <x:f>'04_Historical_FS'!F4</x:f>
        <x:v>0</x:v>
      </x:c>
      <x:c r="C4" s="152" t="n">
        <x:f>B4*(1+'05_Assumptions'!B5)</x:f>
        <x:v>0</x:v>
      </x:c>
      <x:c r="D4" s="152" t="n">
        <x:f>C4*(1+'05_Assumptions'!C5)</x:f>
        <x:v>0</x:v>
      </x:c>
      <x:c r="E4" s="152" t="n">
        <x:f>D4*(1+'05_Assumptions'!D5)</x:f>
        <x:v>0</x:v>
      </x:c>
      <x:c r="F4" s="152" t="n">
        <x:f>E4*(1+'05_Assumptions'!E5)</x:f>
        <x:v>0</x:v>
      </x:c>
      <x:c r="G4" s="152" t="n">
        <x:f>F4*(1+'05_Assumptions'!F5)</x:f>
        <x:v>0</x:v>
      </x:c>
    </x:row>
    <x:row r="5">
      <x:c r="A5" s="105" t="str">
        <x:v>Revenue growth</x:v>
      </x:c>
      <x:c r="B5" s="153" t="str">
        <x:f>'04_Historical_FS'!F5</x:f>
      </x:c>
      <x:c r="C5" s="134" t="str">
        <x:f>IFERROR(C4/B4-1,"")</x:f>
      </x:c>
      <x:c r="D5" s="134" t="str">
        <x:f>IFERROR(D4/C4-1,"")</x:f>
      </x:c>
      <x:c r="E5" s="134" t="str">
        <x:f>IFERROR(E4/D4-1,"")</x:f>
      </x:c>
      <x:c r="F5" s="134" t="str">
        <x:f>IFERROR(F4/E4-1,"")</x:f>
      </x:c>
      <x:c r="G5" s="134" t="str">
        <x:f>IFERROR(G4/F4-1,"")</x:f>
      </x:c>
    </x:row>
    <x:row r="6">
      <x:c r="A6" s="105" t="str">
        <x:v>EBITDA margin</x:v>
      </x:c>
      <x:c r="B6" s="153" t="str">
        <x:f>'04_Historical_FS'!F11</x:f>
      </x:c>
      <x:c r="C6" s="134" t="n">
        <x:f>'05_Assumptions'!B6</x:f>
        <x:v>0.04</x:v>
      </x:c>
      <x:c r="D6" s="134" t="n">
        <x:f>'05_Assumptions'!C6</x:f>
        <x:v>0.06</x:v>
      </x:c>
      <x:c r="E6" s="134" t="n">
        <x:f>'05_Assumptions'!D6</x:f>
        <x:v>0.08</x:v>
      </x:c>
      <x:c r="F6" s="134" t="n">
        <x:f>'05_Assumptions'!E6</x:f>
        <x:v>0.1</x:v>
      </x:c>
      <x:c r="G6" s="134" t="n">
        <x:f>'05_Assumptions'!F6</x:f>
        <x:v>0.12</x:v>
      </x:c>
    </x:row>
    <x:row r="7">
      <x:c r="A7" s="137" t="str">
        <x:v>EBITDA</x:v>
      </x:c>
      <x:c r="B7" s="154" t="n">
        <x:f>'04_Historical_FS'!F10</x:f>
        <x:v>0</x:v>
      </x:c>
      <x:c r="C7" s="139" t="n">
        <x:f>C4*C6</x:f>
        <x:v>0</x:v>
      </x:c>
      <x:c r="D7" s="139" t="n">
        <x:f>D4*D6</x:f>
        <x:v>0</x:v>
      </x:c>
      <x:c r="E7" s="139" t="n">
        <x:f>E4*E6</x:f>
        <x:v>0</x:v>
      </x:c>
      <x:c r="F7" s="139" t="n">
        <x:f>F4*F6</x:f>
        <x:v>0</x:v>
      </x:c>
      <x:c r="G7" s="139" t="n">
        <x:f>G4*G6</x:f>
        <x:v>0</x:v>
      </x:c>
    </x:row>
    <x:row r="8">
      <x:c r="A8" s="105" t="str">
        <x:v>D&amp;A / revenue</x:v>
      </x:c>
      <x:c r="B8" s="153" t="str">
        <x:f>IFERROR('04_Historical_FS'!F12/'04_Historical_FS'!F4,"")</x:f>
      </x:c>
      <x:c r="C8" s="134" t="n">
        <x:f>'05_Assumptions'!B7</x:f>
        <x:v>0.025</x:v>
      </x:c>
      <x:c r="D8" s="134" t="n">
        <x:f>'05_Assumptions'!C7</x:f>
        <x:v>0.024</x:v>
      </x:c>
      <x:c r="E8" s="134" t="n">
        <x:f>'05_Assumptions'!D7</x:f>
        <x:v>0.023</x:v>
      </x:c>
      <x:c r="F8" s="134" t="n">
        <x:f>'05_Assumptions'!E7</x:f>
        <x:v>0.022</x:v>
      </x:c>
      <x:c r="G8" s="134" t="n">
        <x:f>'05_Assumptions'!F7</x:f>
        <x:v>0.021</x:v>
      </x:c>
    </x:row>
    <x:row r="9">
      <x:c r="A9" s="105" t="str">
        <x:v>D&amp;A</x:v>
      </x:c>
      <x:c r="B9" s="132" t="n">
        <x:f>'04_Historical_FS'!F12</x:f>
        <x:v>0</x:v>
      </x:c>
      <x:c r="C9" s="152" t="n">
        <x:f>C4*C8</x:f>
        <x:v>0</x:v>
      </x:c>
      <x:c r="D9" s="152" t="n">
        <x:f>D4*D8</x:f>
        <x:v>0</x:v>
      </x:c>
      <x:c r="E9" s="152" t="n">
        <x:f>E4*E8</x:f>
        <x:v>0</x:v>
      </x:c>
      <x:c r="F9" s="152" t="n">
        <x:f>F4*F8</x:f>
        <x:v>0</x:v>
      </x:c>
      <x:c r="G9" s="152" t="n">
        <x:f>G4*G8</x:f>
        <x:v>0</x:v>
      </x:c>
    </x:row>
    <x:row r="10">
      <x:c r="A10" s="137" t="str">
        <x:v>EBIT</x:v>
      </x:c>
      <x:c r="B10" s="154" t="n">
        <x:f>'04_Historical_FS'!F13</x:f>
        <x:v>0</x:v>
      </x:c>
      <x:c r="C10" s="139" t="n">
        <x:f>C7-C9</x:f>
        <x:v>0</x:v>
      </x:c>
      <x:c r="D10" s="139" t="n">
        <x:f>D7-D9</x:f>
        <x:v>0</x:v>
      </x:c>
      <x:c r="E10" s="139" t="n">
        <x:f>E7-E9</x:f>
        <x:v>0</x:v>
      </x:c>
      <x:c r="F10" s="139" t="n">
        <x:f>F7-F9</x:f>
        <x:v>0</x:v>
      </x:c>
      <x:c r="G10" s="139" t="n">
        <x:f>G7-G9</x:f>
        <x:v>0</x:v>
      </x:c>
    </x:row>
    <x:row r="11">
      <x:c r="A11" s="105" t="str">
        <x:v>Cash tax rate</x:v>
      </x:c>
      <x:c r="B11" s="153" t="str">
        <x:f>IFERROR('04_Historical_FS'!F14/'04_Historical_FS'!F13,"")</x:f>
      </x:c>
      <x:c r="C11" s="134" t="n">
        <x:f>'05_Assumptions'!B10</x:f>
        <x:v>0.25</x:v>
      </x:c>
      <x:c r="D11" s="134" t="n">
        <x:f>'05_Assumptions'!C10</x:f>
        <x:v>0.25</x:v>
      </x:c>
      <x:c r="E11" s="134" t="n">
        <x:f>'05_Assumptions'!D10</x:f>
        <x:v>0.25</x:v>
      </x:c>
      <x:c r="F11" s="134" t="n">
        <x:f>'05_Assumptions'!E10</x:f>
        <x:v>0.25</x:v>
      </x:c>
      <x:c r="G11" s="134" t="n">
        <x:f>'05_Assumptions'!F10</x:f>
        <x:v>0.25</x:v>
      </x:c>
    </x:row>
    <x:row r="12">
      <x:c r="A12" s="105" t="str">
        <x:v>Cash taxes</x:v>
      </x:c>
      <x:c r="B12" s="132" t="n">
        <x:f>'04_Historical_FS'!F14</x:f>
        <x:v>0</x:v>
      </x:c>
      <x:c r="C12" s="152" t="n">
        <x:f>MAX(0,C10*C11)</x:f>
        <x:v>0</x:v>
      </x:c>
      <x:c r="D12" s="152" t="n">
        <x:f>MAX(0,D10*D11)</x:f>
        <x:v>0</x:v>
      </x:c>
      <x:c r="E12" s="152" t="n">
        <x:f>MAX(0,E10*E11)</x:f>
        <x:v>0</x:v>
      </x:c>
      <x:c r="F12" s="152" t="n">
        <x:f>MAX(0,F10*F11)</x:f>
        <x:v>0</x:v>
      </x:c>
      <x:c r="G12" s="152" t="n">
        <x:f>MAX(0,G10*G11)</x:f>
        <x:v>0</x:v>
      </x:c>
    </x:row>
    <x:row r="13">
      <x:c r="A13" s="137" t="str">
        <x:v>NOPAT</x:v>
      </x:c>
      <x:c r="B13" s="154" t="n">
        <x:f>IFERROR(B10-B12,"")</x:f>
        <x:v>0</x:v>
      </x:c>
      <x:c r="C13" s="139" t="n">
        <x:f>C10-C12</x:f>
        <x:v>0</x:v>
      </x:c>
      <x:c r="D13" s="139" t="n">
        <x:f>D10-D12</x:f>
        <x:v>0</x:v>
      </x:c>
      <x:c r="E13" s="139" t="n">
        <x:f>E10-E12</x:f>
        <x:v>0</x:v>
      </x:c>
      <x:c r="F13" s="139" t="n">
        <x:f>F10-F12</x:f>
        <x:v>0</x:v>
      </x:c>
      <x:c r="G13" s="139" t="n">
        <x:f>G10-G12</x:f>
        <x:v>0</x:v>
      </x:c>
    </x:row>
    <x:row r="14">
      <x:c r="A14" s="105" t="str">
        <x:v>Capex / revenue</x:v>
      </x:c>
      <x:c r="B14" s="153" t="str">
        <x:f>IFERROR('04_Historical_FS'!F23/'04_Historical_FS'!F4,"")</x:f>
      </x:c>
      <x:c r="C14" s="134" t="n">
        <x:f>'05_Assumptions'!B8</x:f>
        <x:v>0.035</x:v>
      </x:c>
      <x:c r="D14" s="134" t="n">
        <x:f>'05_Assumptions'!C8</x:f>
        <x:v>0.034</x:v>
      </x:c>
      <x:c r="E14" s="134" t="n">
        <x:f>'05_Assumptions'!D8</x:f>
        <x:v>0.033</x:v>
      </x:c>
      <x:c r="F14" s="134" t="n">
        <x:f>'05_Assumptions'!E8</x:f>
        <x:v>0.032</x:v>
      </x:c>
      <x:c r="G14" s="134" t="n">
        <x:f>'05_Assumptions'!F8</x:f>
        <x:v>0.031</x:v>
      </x:c>
    </x:row>
    <x:row r="15">
      <x:c r="A15" s="137" t="str">
        <x:v>Capex</x:v>
      </x:c>
      <x:c r="B15" s="154" t="n">
        <x:f>'04_Historical_FS'!F23</x:f>
        <x:v>0</x:v>
      </x:c>
      <x:c r="C15" s="139" t="n">
        <x:f>C4*C14</x:f>
        <x:v>0</x:v>
      </x:c>
      <x:c r="D15" s="139" t="n">
        <x:f>D4*D14</x:f>
        <x:v>0</x:v>
      </x:c>
      <x:c r="E15" s="139" t="n">
        <x:f>E4*E14</x:f>
        <x:v>0</x:v>
      </x:c>
      <x:c r="F15" s="139" t="n">
        <x:f>F4*F14</x:f>
        <x:v>0</x:v>
      </x:c>
      <x:c r="G15" s="139" t="n">
        <x:f>G4*G14</x:f>
        <x:v>0</x:v>
      </x:c>
    </x:row>
    <x:row r="16">
      <x:c r="A16" s="105" t="str">
        <x:v>NWC / revenue</x:v>
      </x:c>
      <x:c r="B16" s="153" t="str">
        <x:f>IFERROR('04_Historical_FS'!F20/'04_Historical_FS'!F4,"")</x:f>
      </x:c>
      <x:c r="C16" s="134" t="n">
        <x:f>'05_Assumptions'!B9</x:f>
        <x:v>0.02</x:v>
      </x:c>
      <x:c r="D16" s="134" t="n">
        <x:f>'05_Assumptions'!C9</x:f>
        <x:v>0.02</x:v>
      </x:c>
      <x:c r="E16" s="134" t="n">
        <x:f>'05_Assumptions'!D9</x:f>
        <x:v>0.02</x:v>
      </x:c>
      <x:c r="F16" s="134" t="n">
        <x:f>'05_Assumptions'!E9</x:f>
        <x:v>0.02</x:v>
      </x:c>
      <x:c r="G16" s="134" t="n">
        <x:f>'05_Assumptions'!F9</x:f>
        <x:v>0.02</x:v>
      </x:c>
    </x:row>
    <x:row r="17">
      <x:c r="A17" s="137" t="str">
        <x:v>NWC</x:v>
      </x:c>
      <x:c r="B17" s="154" t="n">
        <x:f>'04_Historical_FS'!F21</x:f>
        <x:v>0</x:v>
      </x:c>
      <x:c r="C17" s="139" t="n">
        <x:f>C4*C16</x:f>
        <x:v>0</x:v>
      </x:c>
      <x:c r="D17" s="139" t="n">
        <x:f>D4*D16</x:f>
        <x:v>0</x:v>
      </x:c>
      <x:c r="E17" s="139" t="n">
        <x:f>E4*E16</x:f>
        <x:v>0</x:v>
      </x:c>
      <x:c r="F17" s="139" t="n">
        <x:f>F4*F16</x:f>
        <x:v>0</x:v>
      </x:c>
      <x:c r="G17" s="139" t="n">
        <x:f>G4*G16</x:f>
        <x:v>0</x:v>
      </x:c>
    </x:row>
    <x:row r="18">
      <x:c r="A18" s="105" t="str">
        <x:v>Change in NWC</x:v>
      </x:c>
      <x:c r="B18" s="132" t="n">
        <x:f>'04_Historical_FS'!F22</x:f>
        <x:v>0</x:v>
      </x:c>
      <x:c r="C18" s="152" t="n">
        <x:f>C17-B17</x:f>
        <x:v>0</x:v>
      </x:c>
      <x:c r="D18" s="152" t="n">
        <x:f>D17-C17</x:f>
        <x:v>0</x:v>
      </x:c>
      <x:c r="E18" s="152" t="n">
        <x:f>E17-D17</x:f>
        <x:v>0</x:v>
      </x:c>
      <x:c r="F18" s="152" t="n">
        <x:f>F17-E17</x:f>
        <x:v>0</x:v>
      </x:c>
      <x:c r="G18" s="152" t="n">
        <x:f>G17-F17</x:f>
        <x:v>0</x:v>
      </x:c>
    </x:row>
    <x:row r="19">
      <x:c r="A19" s="137" t="str">
        <x:v>Unlevered FCF</x:v>
      </x:c>
      <x:c r="B19" s="154" t="n">
        <x:f>B13+B9-B15-B18</x:f>
        <x:v>0</x:v>
      </x:c>
      <x:c r="C19" s="139" t="n">
        <x:f>C13+C9-C15-C18</x:f>
        <x:v>0</x:v>
      </x:c>
      <x:c r="D19" s="139" t="n">
        <x:f>D13+D9-D15-D18</x:f>
        <x:v>0</x:v>
      </x:c>
      <x:c r="E19" s="139" t="n">
        <x:f>E13+E9-E15-E18</x:f>
        <x:v>0</x:v>
      </x:c>
      <x:c r="F19" s="139" t="n">
        <x:f>F13+F9-F15-F18</x:f>
        <x:v>0</x:v>
      </x:c>
      <x:c r="G19" s="139" t="n">
        <x:f>G13+G9-G15-G18</x:f>
        <x:v>0</x:v>
      </x:c>
    </x:row>
    <x:row r="20">
      <x:c r="A20" s="105" t="str">
        <x:v>Diluted shares (mm)</x:v>
      </x:c>
      <x:c r="B20" s="132" t="n">
        <x:f>'04_Historical_FS'!F24</x:f>
        <x:v>0</x:v>
      </x:c>
      <x:c r="C20" s="152" t="n">
        <x:f>IF(B20&gt;0,B20*(1+'05_Assumptions'!B11),'05_Assumptions'!B33)</x:f>
        <x:v>8900</x:v>
      </x:c>
      <x:c r="D20" s="152" t="n">
        <x:f>C20*(1+'05_Assumptions'!C11)</x:f>
        <x:v>8989</x:v>
      </x:c>
      <x:c r="E20" s="152" t="n">
        <x:f>D20*(1+'05_Assumptions'!D11)</x:f>
        <x:v>9078.89</x:v>
      </x:c>
      <x:c r="F20" s="152" t="n">
        <x:f>E20*(1+'05_Assumptions'!E11)</x:f>
        <x:v>9169.678899999999</x:v>
      </x:c>
      <x:c r="G20" s="152" t="n">
        <x:f>F20*(1+'05_Assumptions'!F11)</x:f>
        <x:v>9261.375688999999</x:v>
      </x:c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104" t="str">
        <x:v>Simplified Linked Statements</x:v>
      </x:c>
      <x:c r="B1" s="104" t="str">
        <x:v>Simplified Linked Statements</x:v>
      </x:c>
      <x:c r="C1" s="104" t="str">
        <x:v>Simplified Linked Statements</x:v>
      </x:c>
      <x:c r="D1" s="104" t="str">
        <x:v>Simplified Linked Statements</x:v>
      </x:c>
      <x:c r="E1" s="104" t="str">
        <x:v>Simplified Linked Statements</x:v>
      </x:c>
      <x:c r="F1" s="104" t="str">
        <x:v>Simplified Linked Statements</x:v>
      </x:c>
      <x:c r="G1" s="104" t="str">
        <x:v>Simplified Linked Statements</x:v>
      </x:c>
    </x:row>
    <x:row r="2">
      <x:c r="A2" s="105"/>
      <x:c r="B2" s="105"/>
      <x:c r="C2" s="105"/>
      <x:c r="D2" s="105"/>
      <x:c r="E2" s="105"/>
      <x:c r="F2" s="105"/>
      <x:c r="G2" s="105"/>
    </x:row>
    <x:row r="3">
      <x:c r="A3" s="107" t="str">
        <x:v>Income Statement</x:v>
      </x:c>
      <x:c r="B3" s="107" t="str">
        <x:v>Income Statement</x:v>
      </x:c>
      <x:c r="C3" s="107" t="str">
        <x:v>Income Statement</x:v>
      </x:c>
      <x:c r="D3" s="107" t="str">
        <x:v>Income Statement</x:v>
      </x:c>
      <x:c r="E3" s="107" t="str">
        <x:v>Income Statement</x:v>
      </x:c>
      <x:c r="F3" s="107" t="str">
        <x:v>Income Statement</x:v>
      </x:c>
      <x:c r="G3" s="107" t="str">
        <x:v>Income Statement</x:v>
      </x:c>
    </x:row>
    <x:row r="4">
      <x:c r="A4" s="108" t="str">
        <x:v>Line item</x:v>
      </x:c>
      <x:c r="B4" s="109" t="str">
        <x:v>FY26A</x:v>
      </x:c>
      <x:c r="C4" s="109" t="str">
        <x:v>FY27E</x:v>
      </x:c>
      <x:c r="D4" s="109" t="str">
        <x:v>FY28E</x:v>
      </x:c>
      <x:c r="E4" s="109" t="str">
        <x:v>FY29E</x:v>
      </x:c>
      <x:c r="F4" s="109" t="str">
        <x:v>FY30E</x:v>
      </x:c>
      <x:c r="G4" s="110" t="str">
        <x:v>FY31E</x:v>
      </x:c>
    </x:row>
    <x:row r="5">
      <x:c r="A5" s="105" t="str">
        <x:v>Revenue</x:v>
      </x:c>
      <x:c r="B5" s="152" t="n">
        <x:f>'06_Operating_Model'!B4</x:f>
        <x:v>0</x:v>
      </x:c>
      <x:c r="C5" s="152" t="n">
        <x:f>'06_Operating_Model'!C4</x:f>
        <x:v>0</x:v>
      </x:c>
      <x:c r="D5" s="152" t="n">
        <x:f>'06_Operating_Model'!D4</x:f>
        <x:v>0</x:v>
      </x:c>
      <x:c r="E5" s="152" t="n">
        <x:f>'06_Operating_Model'!E4</x:f>
        <x:v>0</x:v>
      </x:c>
      <x:c r="F5" s="152" t="n">
        <x:f>'06_Operating_Model'!F4</x:f>
        <x:v>0</x:v>
      </x:c>
      <x:c r="G5" s="152" t="n">
        <x:f>'06_Operating_Model'!G4</x:f>
        <x:v>0</x:v>
      </x:c>
    </x:row>
    <x:row r="6">
      <x:c r="A6" s="105" t="str">
        <x:v>EBITDA</x:v>
      </x:c>
      <x:c r="B6" s="152" t="n">
        <x:f>'06_Operating_Model'!B7</x:f>
        <x:v>0</x:v>
      </x:c>
      <x:c r="C6" s="152" t="n">
        <x:f>'06_Operating_Model'!C7</x:f>
        <x:v>0</x:v>
      </x:c>
      <x:c r="D6" s="152" t="n">
        <x:f>'06_Operating_Model'!D7</x:f>
        <x:v>0</x:v>
      </x:c>
      <x:c r="E6" s="152" t="n">
        <x:f>'06_Operating_Model'!E7</x:f>
        <x:v>0</x:v>
      </x:c>
      <x:c r="F6" s="152" t="n">
        <x:f>'06_Operating_Model'!F7</x:f>
        <x:v>0</x:v>
      </x:c>
      <x:c r="G6" s="152" t="n">
        <x:f>'06_Operating_Model'!G7</x:f>
        <x:v>0</x:v>
      </x:c>
    </x:row>
    <x:row r="7">
      <x:c r="A7" s="105" t="str">
        <x:v>D&amp;A</x:v>
      </x:c>
      <x:c r="B7" s="152" t="n">
        <x:f>'06_Operating_Model'!B9</x:f>
        <x:v>0</x:v>
      </x:c>
      <x:c r="C7" s="152" t="n">
        <x:f>'06_Operating_Model'!C9</x:f>
        <x:v>0</x:v>
      </x:c>
      <x:c r="D7" s="152" t="n">
        <x:f>'06_Operating_Model'!D9</x:f>
        <x:v>0</x:v>
      </x:c>
      <x:c r="E7" s="152" t="n">
        <x:f>'06_Operating_Model'!E9</x:f>
        <x:v>0</x:v>
      </x:c>
      <x:c r="F7" s="152" t="n">
        <x:f>'06_Operating_Model'!F9</x:f>
        <x:v>0</x:v>
      </x:c>
      <x:c r="G7" s="152" t="n">
        <x:f>'06_Operating_Model'!G9</x:f>
        <x:v>0</x:v>
      </x:c>
    </x:row>
    <x:row r="8">
      <x:c r="A8" s="105" t="str">
        <x:v>EBIT</x:v>
      </x:c>
      <x:c r="B8" s="152" t="n">
        <x:f>'06_Operating_Model'!B10</x:f>
        <x:v>0</x:v>
      </x:c>
      <x:c r="C8" s="152" t="n">
        <x:f>'06_Operating_Model'!C10</x:f>
        <x:v>0</x:v>
      </x:c>
      <x:c r="D8" s="152" t="n">
        <x:f>'06_Operating_Model'!D10</x:f>
        <x:v>0</x:v>
      </x:c>
      <x:c r="E8" s="152" t="n">
        <x:f>'06_Operating_Model'!E10</x:f>
        <x:v>0</x:v>
      </x:c>
      <x:c r="F8" s="152" t="n">
        <x:f>'06_Operating_Model'!F10</x:f>
        <x:v>0</x:v>
      </x:c>
      <x:c r="G8" s="152" t="n">
        <x:f>'06_Operating_Model'!G10</x:f>
        <x:v>0</x:v>
      </x:c>
    </x:row>
    <x:row r="9">
      <x:c r="A9" s="105" t="str">
        <x:v>Cash taxes</x:v>
      </x:c>
      <x:c r="B9" s="152" t="n">
        <x:f>'06_Operating_Model'!B12</x:f>
        <x:v>0</x:v>
      </x:c>
      <x:c r="C9" s="152" t="n">
        <x:f>'06_Operating_Model'!C12</x:f>
        <x:v>0</x:v>
      </x:c>
      <x:c r="D9" s="152" t="n">
        <x:f>'06_Operating_Model'!D12</x:f>
        <x:v>0</x:v>
      </x:c>
      <x:c r="E9" s="152" t="n">
        <x:f>'06_Operating_Model'!E12</x:f>
        <x:v>0</x:v>
      </x:c>
      <x:c r="F9" s="152" t="n">
        <x:f>'06_Operating_Model'!F12</x:f>
        <x:v>0</x:v>
      </x:c>
      <x:c r="G9" s="152" t="n">
        <x:f>'06_Operating_Model'!G12</x:f>
        <x:v>0</x:v>
      </x:c>
    </x:row>
    <x:row r="10">
      <x:c r="A10" s="137" t="str">
        <x:v>NOPAT</x:v>
      </x:c>
      <x:c r="B10" s="139" t="n">
        <x:f>'06_Operating_Model'!B13</x:f>
        <x:v>0</x:v>
      </x:c>
      <x:c r="C10" s="139" t="n">
        <x:f>'06_Operating_Model'!C13</x:f>
        <x:v>0</x:v>
      </x:c>
      <x:c r="D10" s="139" t="n">
        <x:f>'06_Operating_Model'!D13</x:f>
        <x:v>0</x:v>
      </x:c>
      <x:c r="E10" s="139" t="n">
        <x:f>'06_Operating_Model'!E13</x:f>
        <x:v>0</x:v>
      </x:c>
      <x:c r="F10" s="139" t="n">
        <x:f>'06_Operating_Model'!F13</x:f>
        <x:v>0</x:v>
      </x:c>
      <x:c r="G10" s="139" t="n">
        <x:f>'06_Operating_Model'!G13</x:f>
        <x:v>0</x:v>
      </x:c>
    </x:row>
    <x:row r="11">
      <x:c r="A11" s="137" t="str">
        <x:v>Net income proxy</x:v>
      </x:c>
      <x:c r="B11" s="139" t="n">
        <x:f>B10</x:f>
        <x:v>0</x:v>
      </x:c>
      <x:c r="C11" s="139" t="n">
        <x:f>C10</x:f>
        <x:v>0</x:v>
      </x:c>
      <x:c r="D11" s="139" t="n">
        <x:f>D10</x:f>
        <x:v>0</x:v>
      </x:c>
      <x:c r="E11" s="139" t="n">
        <x:f>E10</x:f>
        <x:v>0</x:v>
      </x:c>
      <x:c r="F11" s="139" t="n">
        <x:f>F10</x:f>
        <x:v>0</x:v>
      </x:c>
      <x:c r="G11" s="139" t="n">
        <x:f>G10</x:f>
        <x:v>0</x:v>
      </x:c>
    </x:row>
    <x:row r="12">
      <x:c r="A12" s="105"/>
      <x:c r="B12" s="152"/>
      <x:c r="C12" s="152"/>
      <x:c r="D12" s="152"/>
      <x:c r="E12" s="152"/>
      <x:c r="F12" s="152"/>
      <x:c r="G12" s="152"/>
    </x:row>
    <x:row r="13">
      <x:c r="A13" s="105"/>
      <x:c r="B13" s="152"/>
      <x:c r="C13" s="152"/>
      <x:c r="D13" s="152"/>
      <x:c r="E13" s="152"/>
      <x:c r="F13" s="152"/>
      <x:c r="G13" s="152"/>
    </x:row>
    <x:row r="14">
      <x:c r="A14" s="107" t="str">
        <x:v>Cash Flow</x:v>
      </x:c>
      <x:c r="B14" s="158" t="str">
        <x:v>Cash Flow</x:v>
      </x:c>
      <x:c r="C14" s="158" t="str">
        <x:v>Cash Flow</x:v>
      </x:c>
      <x:c r="D14" s="158" t="str">
        <x:v>Cash Flow</x:v>
      </x:c>
      <x:c r="E14" s="158" t="str">
        <x:v>Cash Flow</x:v>
      </x:c>
      <x:c r="F14" s="158" t="str">
        <x:v>Cash Flow</x:v>
      </x:c>
      <x:c r="G14" s="158" t="str">
        <x:v>Cash Flow</x:v>
      </x:c>
    </x:row>
    <x:row r="15">
      <x:c r="A15" s="108" t="str">
        <x:v>Line item</x:v>
      </x:c>
      <x:c r="B15" s="159" t="str">
        <x:v>FY26A</x:v>
      </x:c>
      <x:c r="C15" s="159" t="str">
        <x:v>FY27E</x:v>
      </x:c>
      <x:c r="D15" s="159" t="str">
        <x:v>FY28E</x:v>
      </x:c>
      <x:c r="E15" s="159" t="str">
        <x:v>FY29E</x:v>
      </x:c>
      <x:c r="F15" s="159" t="str">
        <x:v>FY30E</x:v>
      </x:c>
      <x:c r="G15" s="160" t="str">
        <x:v>FY31E</x:v>
      </x:c>
    </x:row>
    <x:row r="16">
      <x:c r="A16" s="105" t="str">
        <x:v>NOPAT</x:v>
      </x:c>
      <x:c r="B16" s="152" t="n">
        <x:f>'06_Operating_Model'!B13</x:f>
        <x:v>0</x:v>
      </x:c>
      <x:c r="C16" s="152" t="n">
        <x:f>'06_Operating_Model'!C13</x:f>
        <x:v>0</x:v>
      </x:c>
      <x:c r="D16" s="152" t="n">
        <x:f>'06_Operating_Model'!D13</x:f>
        <x:v>0</x:v>
      </x:c>
      <x:c r="E16" s="152" t="n">
        <x:f>'06_Operating_Model'!E13</x:f>
        <x:v>0</x:v>
      </x:c>
      <x:c r="F16" s="152" t="n">
        <x:f>'06_Operating_Model'!F13</x:f>
        <x:v>0</x:v>
      </x:c>
      <x:c r="G16" s="152" t="n">
        <x:f>'06_Operating_Model'!G13</x:f>
        <x:v>0</x:v>
      </x:c>
    </x:row>
    <x:row r="17">
      <x:c r="A17" s="105" t="str">
        <x:v>D&amp;A add-back</x:v>
      </x:c>
      <x:c r="B17" s="152" t="n">
        <x:f>'06_Operating_Model'!B9</x:f>
        <x:v>0</x:v>
      </x:c>
      <x:c r="C17" s="152" t="n">
        <x:f>'06_Operating_Model'!C9</x:f>
        <x:v>0</x:v>
      </x:c>
      <x:c r="D17" s="152" t="n">
        <x:f>'06_Operating_Model'!D9</x:f>
        <x:v>0</x:v>
      </x:c>
      <x:c r="E17" s="152" t="n">
        <x:f>'06_Operating_Model'!E9</x:f>
        <x:v>0</x:v>
      </x:c>
      <x:c r="F17" s="152" t="n">
        <x:f>'06_Operating_Model'!F9</x:f>
        <x:v>0</x:v>
      </x:c>
      <x:c r="G17" s="152" t="n">
        <x:f>'06_Operating_Model'!G9</x:f>
        <x:v>0</x:v>
      </x:c>
    </x:row>
    <x:row r="18">
      <x:c r="A18" s="105" t="str">
        <x:v>Capex</x:v>
      </x:c>
      <x:c r="B18" s="152" t="n">
        <x:f>'06_Operating_Model'!B15</x:f>
        <x:v>0</x:v>
      </x:c>
      <x:c r="C18" s="152" t="n">
        <x:f>'06_Operating_Model'!C15</x:f>
        <x:v>0</x:v>
      </x:c>
      <x:c r="D18" s="152" t="n">
        <x:f>'06_Operating_Model'!D15</x:f>
        <x:v>0</x:v>
      </x:c>
      <x:c r="E18" s="152" t="n">
        <x:f>'06_Operating_Model'!E15</x:f>
        <x:v>0</x:v>
      </x:c>
      <x:c r="F18" s="152" t="n">
        <x:f>'06_Operating_Model'!F15</x:f>
        <x:v>0</x:v>
      </x:c>
      <x:c r="G18" s="152" t="n">
        <x:f>'06_Operating_Model'!G15</x:f>
        <x:v>0</x:v>
      </x:c>
    </x:row>
    <x:row r="19">
      <x:c r="A19" s="105" t="str">
        <x:v>Change in NWC</x:v>
      </x:c>
      <x:c r="B19" s="152" t="n">
        <x:f>'06_Operating_Model'!B18</x:f>
        <x:v>0</x:v>
      </x:c>
      <x:c r="C19" s="152" t="n">
        <x:f>'06_Operating_Model'!C18</x:f>
        <x:v>0</x:v>
      </x:c>
      <x:c r="D19" s="152" t="n">
        <x:f>'06_Operating_Model'!D18</x:f>
        <x:v>0</x:v>
      </x:c>
      <x:c r="E19" s="152" t="n">
        <x:f>'06_Operating_Model'!E18</x:f>
        <x:v>0</x:v>
      </x:c>
      <x:c r="F19" s="152" t="n">
        <x:f>'06_Operating_Model'!F18</x:f>
        <x:v>0</x:v>
      </x:c>
      <x:c r="G19" s="152" t="n">
        <x:f>'06_Operating_Model'!G18</x:f>
        <x:v>0</x:v>
      </x:c>
    </x:row>
    <x:row r="20">
      <x:c r="A20" s="137" t="str">
        <x:v>Unlevered FCF</x:v>
      </x:c>
      <x:c r="B20" s="139" t="n">
        <x:f>'06_Operating_Model'!B19</x:f>
        <x:v>0</x:v>
      </x:c>
      <x:c r="C20" s="139" t="n">
        <x:f>'06_Operating_Model'!C19</x:f>
        <x:v>0</x:v>
      </x:c>
      <x:c r="D20" s="139" t="n">
        <x:f>'06_Operating_Model'!D19</x:f>
        <x:v>0</x:v>
      </x:c>
      <x:c r="E20" s="139" t="n">
        <x:f>'06_Operating_Model'!E19</x:f>
        <x:v>0</x:v>
      </x:c>
      <x:c r="F20" s="139" t="n">
        <x:f>'06_Operating_Model'!F19</x:f>
        <x:v>0</x:v>
      </x:c>
      <x:c r="G20" s="139" t="n">
        <x:f>'06_Operating_Model'!G19</x:f>
        <x:v>0</x:v>
      </x:c>
    </x:row>
    <x:row r="21">
      <x:c r="A21" s="137" t="str">
        <x:v>Ending cash proxy</x:v>
      </x:c>
      <x:c r="B21" s="139" t="n">
        <x:f>'04_Historical_FS'!F16</x:f>
        <x:v>0</x:v>
      </x:c>
      <x:c r="C21" s="139" t="n">
        <x:f>B21+C20</x:f>
        <x:v>0</x:v>
      </x:c>
      <x:c r="D21" s="139" t="n">
        <x:f>C21+D20</x:f>
        <x:v>0</x:v>
      </x:c>
      <x:c r="E21" s="139" t="n">
        <x:f>D21+E20</x:f>
        <x:v>0</x:v>
      </x:c>
      <x:c r="F21" s="139" t="n">
        <x:f>E21+F20</x:f>
        <x:v>0</x:v>
      </x:c>
      <x:c r="G21" s="139" t="n">
        <x:f>F21+G20</x:f>
        <x:v>0</x:v>
      </x:c>
    </x:row>
    <x:row r="22">
      <x:c r="A22" s="105"/>
      <x:c r="B22" s="152"/>
      <x:c r="C22" s="152"/>
      <x:c r="D22" s="152"/>
      <x:c r="E22" s="152"/>
      <x:c r="F22" s="152"/>
      <x:c r="G22" s="152"/>
    </x:row>
    <x:row r="23">
      <x:c r="A23" s="105"/>
      <x:c r="B23" s="152"/>
      <x:c r="C23" s="152"/>
      <x:c r="D23" s="152"/>
      <x:c r="E23" s="152"/>
      <x:c r="F23" s="152"/>
      <x:c r="G23" s="152"/>
    </x:row>
    <x:row r="24">
      <x:c r="A24" s="107" t="str">
        <x:v>Balance Sheet Drivers</x:v>
      </x:c>
      <x:c r="B24" s="158" t="str">
        <x:v>Balance Sheet Drivers</x:v>
      </x:c>
      <x:c r="C24" s="158" t="str">
        <x:v>Balance Sheet Drivers</x:v>
      </x:c>
      <x:c r="D24" s="158" t="str">
        <x:v>Balance Sheet Drivers</x:v>
      </x:c>
      <x:c r="E24" s="158" t="str">
        <x:v>Balance Sheet Drivers</x:v>
      </x:c>
      <x:c r="F24" s="158" t="str">
        <x:v>Balance Sheet Drivers</x:v>
      </x:c>
      <x:c r="G24" s="158" t="str">
        <x:v>Balance Sheet Drivers</x:v>
      </x:c>
    </x:row>
    <x:row r="25">
      <x:c r="A25" s="108" t="str">
        <x:v>Line item</x:v>
      </x:c>
      <x:c r="B25" s="159" t="str">
        <x:v>FY26A</x:v>
      </x:c>
      <x:c r="C25" s="159" t="str">
        <x:v>FY27E</x:v>
      </x:c>
      <x:c r="D25" s="159" t="str">
        <x:v>FY28E</x:v>
      </x:c>
      <x:c r="E25" s="159" t="str">
        <x:v>FY29E</x:v>
      </x:c>
      <x:c r="F25" s="159" t="str">
        <x:v>FY30E</x:v>
      </x:c>
      <x:c r="G25" s="160" t="str">
        <x:v>FY31E</x:v>
      </x:c>
    </x:row>
    <x:row r="26">
      <x:c r="A26" s="105" t="str">
        <x:v>Cash</x:v>
      </x:c>
      <x:c r="B26" s="152" t="n">
        <x:f>'04_Historical_FS'!F16</x:f>
        <x:v>0</x:v>
      </x:c>
      <x:c r="C26" s="152" t="n">
        <x:f>C21</x:f>
        <x:v>0</x:v>
      </x:c>
      <x:c r="D26" s="152" t="n">
        <x:f>D21</x:f>
        <x:v>0</x:v>
      </x:c>
      <x:c r="E26" s="152" t="n">
        <x:f>E21</x:f>
        <x:v>0</x:v>
      </x:c>
      <x:c r="F26" s="152" t="n">
        <x:f>F21</x:f>
        <x:v>0</x:v>
      </x:c>
      <x:c r="G26" s="152" t="n">
        <x:f>G21</x:f>
        <x:v>0</x:v>
      </x:c>
    </x:row>
    <x:row r="27">
      <x:c r="A27" s="105" t="str">
        <x:v>Debt</x:v>
      </x:c>
      <x:c r="B27" s="152" t="n">
        <x:f>'04_Historical_FS'!F17</x:f>
        <x:v>0</x:v>
      </x:c>
      <x:c r="C27" s="152" t="n">
        <x:f>B27</x:f>
        <x:v>0</x:v>
      </x:c>
      <x:c r="D27" s="152" t="n">
        <x:f>C27</x:f>
        <x:v>0</x:v>
      </x:c>
      <x:c r="E27" s="152" t="n">
        <x:f>D27</x:f>
        <x:v>0</x:v>
      </x:c>
      <x:c r="F27" s="152" t="n">
        <x:f>E27</x:f>
        <x:v>0</x:v>
      </x:c>
      <x:c r="G27" s="152" t="n">
        <x:f>F27</x:f>
        <x:v>0</x:v>
      </x:c>
    </x:row>
    <x:row r="28">
      <x:c r="A28" s="137" t="str">
        <x:v>Net debt / (cash)</x:v>
      </x:c>
      <x:c r="B28" s="139" t="n">
        <x:f>B27-B26</x:f>
        <x:v>0</x:v>
      </x:c>
      <x:c r="C28" s="139" t="n">
        <x:f>C27-C26</x:f>
        <x:v>0</x:v>
      </x:c>
      <x:c r="D28" s="139" t="n">
        <x:f>D27-D26</x:f>
        <x:v>0</x:v>
      </x:c>
      <x:c r="E28" s="139" t="n">
        <x:f>E27-E26</x:f>
        <x:v>0</x:v>
      </x:c>
      <x:c r="F28" s="139" t="n">
        <x:f>F27-F26</x:f>
        <x:v>0</x:v>
      </x:c>
      <x:c r="G28" s="139" t="n">
        <x:f>G27-G26</x:f>
        <x:v>0</x:v>
      </x:c>
    </x:row>
    <x:row r="29">
      <x:c r="A29" s="105" t="str">
        <x:v>Net working capital</x:v>
      </x:c>
      <x:c r="B29" s="152" t="n">
        <x:f>'06_Operating_Model'!B17</x:f>
        <x:v>0</x:v>
      </x:c>
      <x:c r="C29" s="152" t="n">
        <x:f>'06_Operating_Model'!C17</x:f>
        <x:v>0</x:v>
      </x:c>
      <x:c r="D29" s="152" t="n">
        <x:f>'06_Operating_Model'!D17</x:f>
        <x:v>0</x:v>
      </x:c>
      <x:c r="E29" s="152" t="n">
        <x:f>'06_Operating_Model'!E17</x:f>
        <x:v>0</x:v>
      </x:c>
      <x:c r="F29" s="152" t="n">
        <x:f>'06_Operating_Model'!F17</x:f>
        <x:v>0</x:v>
      </x:c>
      <x:c r="G29" s="152" t="n">
        <x:f>'06_Operating_Model'!G17</x:f>
        <x:v>0</x:v>
      </x:c>
    </x:row>
    <x:row r="30">
      <x:c r="A30" s="137" t="str">
        <x:v>Equity proxy</x:v>
      </x:c>
      <x:c r="B30" s="139" t="n">
        <x:f>'04_Historical_FS'!F15</x:f>
        <x:v>0</x:v>
      </x:c>
      <x:c r="C30" s="139" t="n">
        <x:f>B30+C11</x:f>
        <x:v>0</x:v>
      </x:c>
      <x:c r="D30" s="139" t="n">
        <x:f>C30+D11</x:f>
        <x:v>0</x:v>
      </x:c>
      <x:c r="E30" s="139" t="n">
        <x:f>D30+E11</x:f>
        <x:v>0</x:v>
      </x:c>
      <x:c r="F30" s="139" t="n">
        <x:f>E30+F11</x:f>
        <x:v>0</x:v>
      </x:c>
      <x:c r="G30" s="139" t="n">
        <x:f>F30+G11</x:f>
        <x:v>0</x:v>
      </x:c>
    </x:row>
    <x:row r="31">
      <x:c r="A31" s="137" t="str">
        <x:v>Check: cash roll-forward</x:v>
      </x:c>
      <x:c r="B31" s="139" t="n">
        <x:f>B26-'04_Historical_FS'!F16</x:f>
        <x:v>0</x:v>
      </x:c>
      <x:c r="C31" s="139" t="n">
        <x:f>C26-C21</x:f>
        <x:v>0</x:v>
      </x:c>
      <x:c r="D31" s="139" t="n">
        <x:f>D26-D21</x:f>
        <x:v>0</x:v>
      </x:c>
      <x:c r="E31" s="139" t="n">
        <x:f>E26-E21</x:f>
        <x:v>0</x:v>
      </x:c>
      <x:c r="F31" s="139" t="n">
        <x:f>F26-F21</x:f>
        <x:v>0</x:v>
      </x:c>
      <x:c r="G31" s="139" t="n">
        <x:f>G26-G21</x:f>
        <x:v>0</x:v>
      </x:c>
    </x:row>
    <x:row r="32">
      <x:c r="A32" s="137" t="str">
        <x:v>Check: net debt bridge</x:v>
      </x:c>
      <x:c r="B32" s="139" t="n">
        <x:f>B28-('04_Historical_FS'!F17-'04_Historical_FS'!F16)</x:f>
        <x:v>0</x:v>
      </x:c>
      <x:c r="C32" s="139" t="n">
        <x:f>C28-(C27-C26)</x:f>
        <x:v>0</x:v>
      </x:c>
      <x:c r="D32" s="139" t="n">
        <x:f>D28-(D27-D26)</x:f>
        <x:v>0</x:v>
      </x:c>
      <x:c r="E32" s="139" t="n">
        <x:f>E28-(E27-E26)</x:f>
        <x:v>0</x:v>
      </x:c>
      <x:c r="F32" s="139" t="n">
        <x:f>F28-(F27-F26)</x:f>
        <x:v>0</x:v>
      </x:c>
      <x:c r="G32" s="139" t="n">
        <x:f>G28-(G27-G26)</x:f>
        <x:v>0</x:v>
      </x:c>
    </x:row>
  </x:sheetData>
  <x:mergeCells>
    <x:mergeCell ref="A1:G1"/>
    <x:mergeCell ref="A3:G3"/>
    <x:mergeCell ref="A14:G14"/>
    <x:mergeCell ref="A24:G2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4" hidden="0" customWidth="1"/>
    <x:col min="8" max="8" width="14" hidden="0" customWidth="1"/>
  </x:cols>
  <x:sheetData>
    <x:row r="1">
      <x:c r="A1" s="104" t="str">
        <x:v>Discounted Cash Flow Valuation</x:v>
      </x:c>
      <x:c r="B1" s="104" t="str">
        <x:v>Discounted Cash Flow Valuation</x:v>
      </x:c>
      <x:c r="C1" s="104" t="str">
        <x:v>Discounted Cash Flow Valuation</x:v>
      </x:c>
      <x:c r="D1" s="104" t="str">
        <x:v>Discounted Cash Flow Valuation</x:v>
      </x:c>
      <x:c r="E1" s="104" t="str">
        <x:v>Discounted Cash Flow Valuation</x:v>
      </x:c>
      <x:c r="F1" s="104" t="str">
        <x:v>Discounted Cash Flow Valuation</x:v>
      </x:c>
      <x:c r="G1" s="104" t="str">
        <x:v>Discounted Cash Flow Valuation</x:v>
      </x:c>
      <x:c r="H1" s="104" t="str">
        <x:v>Discounted Cash Flow Valuation</x:v>
      </x:c>
    </x:row>
    <x:row r="2">
      <x:c r="A2" s="105"/>
      <x:c r="B2" s="105"/>
      <x:c r="C2" s="105"/>
      <x:c r="D2" s="105"/>
      <x:c r="E2" s="105"/>
      <x:c r="F2" s="105"/>
      <x:c r="G2" s="105"/>
      <x:c r="H2" s="105"/>
    </x:row>
    <x:row r="3">
      <x:c r="A3" s="108" t="str">
        <x:v>Line item</x:v>
      </x:c>
      <x:c r="B3" s="109" t="str">
        <x:v>FY27E</x:v>
      </x:c>
      <x:c r="C3" s="109" t="str">
        <x:v>FY28E</x:v>
      </x:c>
      <x:c r="D3" s="109" t="str">
        <x:v>FY29E</x:v>
      </x:c>
      <x:c r="E3" s="109" t="str">
        <x:v>FY30E</x:v>
      </x:c>
      <x:c r="F3" s="109" t="str">
        <x:v>FY31E</x:v>
      </x:c>
      <x:c r="G3" s="110" t="str">
        <x:v>Notes</x:v>
      </x:c>
      <x:c r="H3" s="105"/>
    </x:row>
    <x:row r="4">
      <x:c r="A4" s="105" t="str">
        <x:v>Revenue</x:v>
      </x:c>
      <x:c r="B4" s="169" t="n">
        <x:f>'06_Operating_Model'!C4</x:f>
        <x:v>0</x:v>
      </x:c>
      <x:c r="C4" s="169" t="n">
        <x:f>'06_Operating_Model'!D4</x:f>
        <x:v>0</x:v>
      </x:c>
      <x:c r="D4" s="169" t="n">
        <x:f>'06_Operating_Model'!E4</x:f>
        <x:v>0</x:v>
      </x:c>
      <x:c r="E4" s="169" t="n">
        <x:f>'06_Operating_Model'!F4</x:f>
        <x:v>0</x:v>
      </x:c>
      <x:c r="F4" s="169" t="n">
        <x:f>'06_Operating_Model'!G4</x:f>
        <x:v>0</x:v>
      </x:c>
      <x:c r="G4" s="105" t="str">
        <x:v>From operating model</x:v>
      </x:c>
      <x:c r="H4" s="105"/>
    </x:row>
    <x:row r="5">
      <x:c r="A5" s="105" t="str">
        <x:v>EBITDA</x:v>
      </x:c>
      <x:c r="B5" s="169" t="n">
        <x:f>'06_Operating_Model'!C7</x:f>
        <x:v>0</x:v>
      </x:c>
      <x:c r="C5" s="169" t="n">
        <x:f>'06_Operating_Model'!D7</x:f>
        <x:v>0</x:v>
      </x:c>
      <x:c r="D5" s="169" t="n">
        <x:f>'06_Operating_Model'!E7</x:f>
        <x:v>0</x:v>
      </x:c>
      <x:c r="E5" s="169" t="n">
        <x:f>'06_Operating_Model'!F7</x:f>
        <x:v>0</x:v>
      </x:c>
      <x:c r="F5" s="169" t="n">
        <x:f>'06_Operating_Model'!G7</x:f>
        <x:v>0</x:v>
      </x:c>
      <x:c r="G5" s="105" t="str">
        <x:v>From operating model</x:v>
      </x:c>
      <x:c r="H5" s="105"/>
    </x:row>
    <x:row r="6">
      <x:c r="A6" s="105" t="str">
        <x:v>EBIT</x:v>
      </x:c>
      <x:c r="B6" s="169" t="n">
        <x:f>'06_Operating_Model'!C10</x:f>
        <x:v>0</x:v>
      </x:c>
      <x:c r="C6" s="169" t="n">
        <x:f>'06_Operating_Model'!D10</x:f>
        <x:v>0</x:v>
      </x:c>
      <x:c r="D6" s="169" t="n">
        <x:f>'06_Operating_Model'!E10</x:f>
        <x:v>0</x:v>
      </x:c>
      <x:c r="E6" s="169" t="n">
        <x:f>'06_Operating_Model'!F10</x:f>
        <x:v>0</x:v>
      </x:c>
      <x:c r="F6" s="169" t="n">
        <x:f>'06_Operating_Model'!G10</x:f>
        <x:v>0</x:v>
      </x:c>
      <x:c r="G6" s="105" t="str">
        <x:v>From operating model</x:v>
      </x:c>
      <x:c r="H6" s="105"/>
    </x:row>
    <x:row r="7">
      <x:c r="A7" s="105" t="str">
        <x:v>Cash taxes</x:v>
      </x:c>
      <x:c r="B7" s="169" t="n">
        <x:f>'06_Operating_Model'!C12</x:f>
        <x:v>0</x:v>
      </x:c>
      <x:c r="C7" s="169" t="n">
        <x:f>'06_Operating_Model'!D12</x:f>
        <x:v>0</x:v>
      </x:c>
      <x:c r="D7" s="169" t="n">
        <x:f>'06_Operating_Model'!E12</x:f>
        <x:v>0</x:v>
      </x:c>
      <x:c r="E7" s="169" t="n">
        <x:f>'06_Operating_Model'!F12</x:f>
        <x:v>0</x:v>
      </x:c>
      <x:c r="F7" s="169" t="n">
        <x:f>'06_Operating_Model'!G12</x:f>
        <x:v>0</x:v>
      </x:c>
      <x:c r="G7" s="105" t="str">
        <x:v>From operating model</x:v>
      </x:c>
      <x:c r="H7" s="105"/>
    </x:row>
    <x:row r="8">
      <x:c r="A8" s="105" t="str">
        <x:v>NOPAT</x:v>
      </x:c>
      <x:c r="B8" s="169" t="n">
        <x:f>'06_Operating_Model'!C13</x:f>
        <x:v>0</x:v>
      </x:c>
      <x:c r="C8" s="169" t="n">
        <x:f>'06_Operating_Model'!D13</x:f>
        <x:v>0</x:v>
      </x:c>
      <x:c r="D8" s="169" t="n">
        <x:f>'06_Operating_Model'!E13</x:f>
        <x:v>0</x:v>
      </x:c>
      <x:c r="E8" s="169" t="n">
        <x:f>'06_Operating_Model'!F13</x:f>
        <x:v>0</x:v>
      </x:c>
      <x:c r="F8" s="169" t="n">
        <x:f>'06_Operating_Model'!G13</x:f>
        <x:v>0</x:v>
      </x:c>
      <x:c r="G8" s="105" t="str">
        <x:v>EBIT less taxes</x:v>
      </x:c>
      <x:c r="H8" s="105"/>
    </x:row>
    <x:row r="9">
      <x:c r="A9" s="105" t="str">
        <x:v>D&amp;A</x:v>
      </x:c>
      <x:c r="B9" s="169" t="n">
        <x:f>'06_Operating_Model'!C9</x:f>
        <x:v>0</x:v>
      </x:c>
      <x:c r="C9" s="169" t="n">
        <x:f>'06_Operating_Model'!D9</x:f>
        <x:v>0</x:v>
      </x:c>
      <x:c r="D9" s="169" t="n">
        <x:f>'06_Operating_Model'!E9</x:f>
        <x:v>0</x:v>
      </x:c>
      <x:c r="E9" s="169" t="n">
        <x:f>'06_Operating_Model'!F9</x:f>
        <x:v>0</x:v>
      </x:c>
      <x:c r="F9" s="169" t="n">
        <x:f>'06_Operating_Model'!G9</x:f>
        <x:v>0</x:v>
      </x:c>
      <x:c r="G9" s="105" t="str">
        <x:v>Add-back</x:v>
      </x:c>
      <x:c r="H9" s="105"/>
    </x:row>
    <x:row r="10">
      <x:c r="A10" s="105" t="str">
        <x:v>Capex</x:v>
      </x:c>
      <x:c r="B10" s="169" t="n">
        <x:f>'06_Operating_Model'!C15</x:f>
        <x:v>0</x:v>
      </x:c>
      <x:c r="C10" s="169" t="n">
        <x:f>'06_Operating_Model'!D15</x:f>
        <x:v>0</x:v>
      </x:c>
      <x:c r="D10" s="169" t="n">
        <x:f>'06_Operating_Model'!E15</x:f>
        <x:v>0</x:v>
      </x:c>
      <x:c r="E10" s="169" t="n">
        <x:f>'06_Operating_Model'!F15</x:f>
        <x:v>0</x:v>
      </x:c>
      <x:c r="F10" s="169" t="n">
        <x:f>'06_Operating_Model'!G15</x:f>
        <x:v>0</x:v>
      </x:c>
      <x:c r="G10" s="105" t="str">
        <x:v>Cash outflow as positive number</x:v>
      </x:c>
      <x:c r="H10" s="105"/>
    </x:row>
    <x:row r="11">
      <x:c r="A11" s="105" t="str">
        <x:v>Change in NWC</x:v>
      </x:c>
      <x:c r="B11" s="169" t="n">
        <x:f>'06_Operating_Model'!C18</x:f>
        <x:v>0</x:v>
      </x:c>
      <x:c r="C11" s="169" t="n">
        <x:f>'06_Operating_Model'!D18</x:f>
        <x:v>0</x:v>
      </x:c>
      <x:c r="D11" s="169" t="n">
        <x:f>'06_Operating_Model'!E18</x:f>
        <x:v>0</x:v>
      </x:c>
      <x:c r="E11" s="169" t="n">
        <x:f>'06_Operating_Model'!F18</x:f>
        <x:v>0</x:v>
      </x:c>
      <x:c r="F11" s="169" t="n">
        <x:f>'06_Operating_Model'!G18</x:f>
        <x:v>0</x:v>
      </x:c>
      <x:c r="G11" s="105" t="str">
        <x:v>Cash outflow as positive number</x:v>
      </x:c>
      <x:c r="H11" s="105"/>
    </x:row>
    <x:row r="12">
      <x:c r="A12" s="137" t="str">
        <x:v>Unlevered FCF</x:v>
      </x:c>
      <x:c r="B12" s="170" t="n">
        <x:f>'06_Operating_Model'!C19</x:f>
        <x:v>0</x:v>
      </x:c>
      <x:c r="C12" s="170" t="n">
        <x:f>'06_Operating_Model'!D19</x:f>
        <x:v>0</x:v>
      </x:c>
      <x:c r="D12" s="170" t="n">
        <x:f>'06_Operating_Model'!E19</x:f>
        <x:v>0</x:v>
      </x:c>
      <x:c r="E12" s="170" t="n">
        <x:f>'06_Operating_Model'!F19</x:f>
        <x:v>0</x:v>
      </x:c>
      <x:c r="F12" s="170" t="n">
        <x:f>'06_Operating_Model'!G19</x:f>
        <x:v>0</x:v>
      </x:c>
      <x:c r="G12" s="105" t="str">
        <x:v>NOPAT + D&amp;A - capex - change in NWC</x:v>
      </x:c>
      <x:c r="H12" s="105"/>
    </x:row>
    <x:row r="13">
      <x:c r="A13" s="105" t="str">
        <x:v>Discount period</x:v>
      </x:c>
      <x:c r="B13" s="171" t="n">
        <x:v>0.5</x:v>
      </x:c>
      <x:c r="C13" s="171" t="n">
        <x:v>1.5</x:v>
      </x:c>
      <x:c r="D13" s="171" t="n">
        <x:v>2.5</x:v>
      </x:c>
      <x:c r="E13" s="171" t="n">
        <x:v>3.5</x:v>
      </x:c>
      <x:c r="F13" s="171" t="n">
        <x:v>4.5</x:v>
      </x:c>
      <x:c r="G13" s="105" t="str">
        <x:v>Mid-year convention</x:v>
      </x:c>
      <x:c r="H13" s="105"/>
    </x:row>
    <x:row r="14">
      <x:c r="A14" s="105" t="str">
        <x:v>WACC</x:v>
      </x:c>
      <x:c r="B14" s="112" t="n">
        <x:f>'05_Assumptions'!B31</x:f>
        <x:v>0.1314375</x:v>
      </x:c>
      <x:c r="C14" s="112" t="n">
        <x:f>'05_Assumptions'!B31</x:f>
        <x:v>0.1314375</x:v>
      </x:c>
      <x:c r="D14" s="112" t="n">
        <x:f>'05_Assumptions'!B31</x:f>
        <x:v>0.1314375</x:v>
      </x:c>
      <x:c r="E14" s="112" t="n">
        <x:f>'05_Assumptions'!B31</x:f>
        <x:v>0.1314375</x:v>
      </x:c>
      <x:c r="F14" s="112" t="n">
        <x:f>'05_Assumptions'!B31</x:f>
        <x:v>0.1314375</x:v>
      </x:c>
      <x:c r="G14" s="105" t="str">
        <x:v>From assumptions</x:v>
      </x:c>
      <x:c r="H14" s="105"/>
    </x:row>
    <x:row r="15">
      <x:c r="A15" s="105" t="str">
        <x:v>Discount factor</x:v>
      </x:c>
      <x:c r="B15" s="171" t="n">
        <x:f>1/(1+B14)^B13</x:f>
        <x:v>0.9401230819199701</x:v>
      </x:c>
      <x:c r="C15" s="171" t="n">
        <x:f>1/(1+C14)^C13</x:f>
        <x:v>0.8309103082759498</x:v>
      </x:c>
      <x:c r="D15" s="171" t="n">
        <x:f>1/(1+D14)^D13</x:f>
        <x:v>0.734384628648025</x:v>
      </x:c>
      <x:c r="E15" s="171" t="n">
        <x:f>1/(1+E14)^E13</x:f>
        <x:v>0.6490722012024747</x:v>
      </x:c>
      <x:c r="F15" s="171" t="n">
        <x:f>1/(1+F14)^F13</x:f>
        <x:v>0.5736703982345244</x:v>
      </x:c>
      <x:c r="G15" s="105" t="str">
        <x:v>=1/(1+WACC)^period</x:v>
      </x:c>
      <x:c r="H15" s="105"/>
    </x:row>
    <x:row r="16">
      <x:c r="A16" s="105"/>
      <x:c r="B16" s="105"/>
      <x:c r="C16" s="105"/>
      <x:c r="D16" s="105"/>
      <x:c r="E16" s="105"/>
      <x:c r="F16" s="105"/>
      <x:c r="G16" s="105"/>
      <x:c r="H16" s="105"/>
    </x:row>
    <x:row r="17">
      <x:c r="A17" s="105"/>
      <x:c r="B17" s="105"/>
      <x:c r="C17" s="105"/>
      <x:c r="D17" s="105"/>
      <x:c r="E17" s="105"/>
      <x:c r="F17" s="105"/>
      <x:c r="G17" s="105"/>
      <x:c r="H17" s="105"/>
    </x:row>
    <x:row r="18">
      <x:c r="A18" s="107" t="str">
        <x:v>Valuation Bridge</x:v>
      </x:c>
      <x:c r="B18" s="107" t="str">
        <x:v>Valuation Bridge</x:v>
      </x:c>
      <x:c r="C18" s="107" t="str">
        <x:v>Valuation Bridge</x:v>
      </x:c>
      <x:c r="D18" s="107" t="str">
        <x:v>Valuation Bridge</x:v>
      </x:c>
      <x:c r="E18" s="107" t="str">
        <x:v>Valuation Bridge</x:v>
      </x:c>
      <x:c r="F18" s="105"/>
      <x:c r="G18" s="105"/>
      <x:c r="H18" s="105"/>
    </x:row>
    <x:row r="19">
      <x:c r="A19" s="105" t="str">
        <x:v>Metric</x:v>
      </x:c>
      <x:c r="B19" s="116" t="str">
        <x:v>Gordon Growth</x:v>
      </x:c>
      <x:c r="C19" s="116" t="str">
        <x:v>Exit Multiple</x:v>
      </x:c>
      <x:c r="D19" s="116" t="str">
        <x:v>Selected</x:v>
      </x:c>
      <x:c r="E19" s="105" t="str">
        <x:v>Notes</x:v>
      </x:c>
      <x:c r="F19" s="105"/>
      <x:c r="G19" s="105"/>
      <x:c r="H19" s="105"/>
    </x:row>
    <x:row r="20">
      <x:c r="A20" s="135" t="str">
        <x:v>PV of forecast FCF</x:v>
      </x:c>
      <x:c r="B20" s="172" t="n">
        <x:f>SUMPRODUCT(B12:F12,B15:F15)</x:f>
        <x:v>0</x:v>
      </x:c>
      <x:c r="C20" s="172" t="n">
        <x:f>B20</x:f>
        <x:v>0</x:v>
      </x:c>
      <x:c r="D20" s="172" t="n">
        <x:f>AVERAGE(B20:C20)</x:f>
        <x:v>0</x:v>
      </x:c>
      <x:c r="E20" s="105" t="str">
        <x:v>Sum of discounted FY27E-FY31E FCF</x:v>
      </x:c>
      <x:c r="F20" s="105"/>
      <x:c r="G20" s="105"/>
      <x:c r="H20" s="105"/>
    </x:row>
    <x:row r="21">
      <x:c r="A21" s="135" t="str">
        <x:v>Terminal value</x:v>
      </x:c>
      <x:c r="B21" s="172" t="n">
        <x:f>IF('05_Assumptions'!B31&gt;'05_Assumptions'!B35,F12*(1+'05_Assumptions'!B35)/('05_Assumptions'!B31-'05_Assumptions'!B35),0)</x:f>
        <x:v>0</x:v>
      </x:c>
      <x:c r="C21" s="172" t="n">
        <x:f>F5*'05_Assumptions'!B36</x:f>
        <x:v>0</x:v>
      </x:c>
      <x:c r="D21" s="172" t="n">
        <x:f>AVERAGE(B21:C21)</x:f>
        <x:v>0</x:v>
      </x:c>
      <x:c r="E21" s="105" t="str">
        <x:v>Gordon and exit multiple shown separately</x:v>
      </x:c>
      <x:c r="F21" s="105"/>
      <x:c r="G21" s="105"/>
      <x:c r="H21" s="105"/>
    </x:row>
    <x:row r="22">
      <x:c r="A22" s="135" t="str">
        <x:v>PV of terminal value</x:v>
      </x:c>
      <x:c r="B22" s="172" t="n">
        <x:f>B21*F15</x:f>
        <x:v>0</x:v>
      </x:c>
      <x:c r="C22" s="172" t="n">
        <x:f>C21*F15</x:f>
        <x:v>0</x:v>
      </x:c>
      <x:c r="D22" s="172" t="n">
        <x:f>AVERAGE(B22:C22)</x:f>
        <x:v>0</x:v>
      </x:c>
      <x:c r="E22" s="105" t="str">
        <x:v>Discounted using FY31E discount factor</x:v>
      </x:c>
      <x:c r="F22" s="105"/>
      <x:c r="G22" s="105"/>
      <x:c r="H22" s="105"/>
    </x:row>
    <x:row r="23">
      <x:c r="A23" s="135" t="str">
        <x:v>Enterprise value</x:v>
      </x:c>
      <x:c r="B23" s="172" t="n">
        <x:f>B20+B22</x:f>
        <x:v>0</x:v>
      </x:c>
      <x:c r="C23" s="172" t="n">
        <x:f>C20+C22</x:f>
        <x:v>0</x:v>
      </x:c>
      <x:c r="D23" s="172" t="n">
        <x:f>AVERAGE(B23:C23)</x:f>
        <x:v>0</x:v>
      </x:c>
      <x:c r="E23" s="105" t="str">
        <x:v>PV FCF + PV terminal value</x:v>
      </x:c>
      <x:c r="F23" s="105"/>
      <x:c r="G23" s="105"/>
      <x:c r="H23" s="105"/>
    </x:row>
    <x:row r="24">
      <x:c r="A24" s="135" t="str">
        <x:v>Net debt / (cash)</x:v>
      </x:c>
      <x:c r="B24" s="172" t="n">
        <x:f>'05_Assumptions'!B32</x:f>
        <x:v>0</x:v>
      </x:c>
      <x:c r="C24" s="172" t="n">
        <x:f>'05_Assumptions'!B32</x:f>
        <x:v>0</x:v>
      </x:c>
      <x:c r="D24" s="172" t="n">
        <x:f>'05_Assumptions'!B32</x:f>
        <x:v>0</x:v>
      </x:c>
      <x:c r="E24" s="105" t="str">
        <x:v>From assumptions until actual bridge is locked</x:v>
      </x:c>
      <x:c r="F24" s="105"/>
      <x:c r="G24" s="105"/>
      <x:c r="H24" s="105"/>
    </x:row>
    <x:row r="25">
      <x:c r="A25" s="135" t="str">
        <x:v>Equity value</x:v>
      </x:c>
      <x:c r="B25" s="172" t="n">
        <x:f>B23-B24</x:f>
        <x:v>0</x:v>
      </x:c>
      <x:c r="C25" s="172" t="n">
        <x:f>C23-C24</x:f>
        <x:v>0</x:v>
      </x:c>
      <x:c r="D25" s="172" t="n">
        <x:f>D23-D24</x:f>
        <x:v>0</x:v>
      </x:c>
      <x:c r="E25" s="105" t="str">
        <x:v>Enterprise value - net debt</x:v>
      </x:c>
      <x:c r="F25" s="105"/>
      <x:c r="G25" s="105"/>
      <x:c r="H25" s="105"/>
    </x:row>
    <x:row r="26">
      <x:c r="A26" s="135" t="str">
        <x:v>Diluted shares (mm)</x:v>
      </x:c>
      <x:c r="B26" s="172" t="n">
        <x:f>'06_Operating_Model'!G20</x:f>
        <x:v>9261.375688999999</x:v>
      </x:c>
      <x:c r="C26" s="172" t="n">
        <x:f>'06_Operating_Model'!G20</x:f>
        <x:v>9261.375688999999</x:v>
      </x:c>
      <x:c r="D26" s="172" t="n">
        <x:f>'06_Operating_Model'!G20</x:f>
        <x:v>9261.375688999999</x:v>
      </x:c>
      <x:c r="E26" s="105" t="str">
        <x:v>From operating model / assumptions</x:v>
      </x:c>
      <x:c r="F26" s="105"/>
      <x:c r="G26" s="105"/>
      <x:c r="H26" s="105"/>
    </x:row>
    <x:row r="27">
      <x:c r="A27" s="135" t="str">
        <x:v>Implied value / share</x:v>
      </x:c>
      <x:c r="B27" s="173" t="n">
        <x:f>IFERROR(B25/B26,0)</x:f>
        <x:v>0</x:v>
      </x:c>
      <x:c r="C27" s="173" t="n">
        <x:f>IFERROR(C25/C26,0)</x:f>
        <x:v>0</x:v>
      </x:c>
      <x:c r="D27" s="173" t="n">
        <x:f>IFERROR(D25/D26,0)</x:f>
        <x:v>0</x:v>
      </x:c>
      <x:c r="E27" s="105" t="str">
        <x:v>Equity value / diluted shares</x:v>
      </x:c>
      <x:c r="F27" s="105"/>
      <x:c r="G27" s="105"/>
      <x:c r="H27" s="105"/>
    </x:row>
    <x:row r="28">
      <x:c r="A28" s="135" t="str">
        <x:v>Selected low</x:v>
      </x:c>
      <x:c r="B28" s="173" t="n">
        <x:f>MIN(B27,C27)</x:f>
        <x:v>0</x:v>
      </x:c>
      <x:c r="C28" s="173" t="n">
        <x:f>B28</x:f>
        <x:v>0</x:v>
      </x:c>
      <x:c r="D28" s="173" t="n">
        <x:f>MIN(B27,C27)</x:f>
        <x:v>0</x:v>
      </x:c>
      <x:c r="E28" s="105" t="str">
        <x:v>Lower of Gordon / exit method</x:v>
      </x:c>
      <x:c r="F28" s="105"/>
      <x:c r="G28" s="105"/>
      <x:c r="H28" s="105"/>
    </x:row>
    <x:row r="29">
      <x:c r="A29" s="135" t="str">
        <x:v>Selected mid</x:v>
      </x:c>
      <x:c r="B29" s="173" t="n">
        <x:f>AVERAGE(B27,C27)</x:f>
        <x:v>0</x:v>
      </x:c>
      <x:c r="C29" s="173" t="n">
        <x:f>B29</x:f>
        <x:v>0</x:v>
      </x:c>
      <x:c r="D29" s="173" t="n">
        <x:f>AVERAGE(B27,C27)</x:f>
        <x:v>0</x:v>
      </x:c>
      <x:c r="E29" s="105" t="str">
        <x:v>Average of Gordon / exit method</x:v>
      </x:c>
      <x:c r="F29" s="105"/>
      <x:c r="G29" s="105"/>
      <x:c r="H29" s="105"/>
    </x:row>
    <x:row r="30">
      <x:c r="A30" s="137" t="str">
        <x:v>Selected high</x:v>
      </x:c>
      <x:c r="B30" s="174" t="n">
        <x:f>MAX(B27,C27)</x:f>
        <x:v>0</x:v>
      </x:c>
      <x:c r="C30" s="174" t="n">
        <x:f>B30</x:f>
        <x:v>0</x:v>
      </x:c>
      <x:c r="D30" s="174" t="n">
        <x:f>MAX(B27,C27)</x:f>
        <x:v>0</x:v>
      </x:c>
      <x:c r="E30" s="105" t="str">
        <x:v>Higher of Gordon / exit method</x:v>
      </x:c>
      <x:c r="F30" s="105"/>
      <x:c r="G30" s="105"/>
      <x:c r="H30" s="105"/>
    </x:row>
    <x:row r="31">
      <x:c r="A31" s="105" t="str">
        <x:v>Terminal growth</x:v>
      </x:c>
      <x:c r="B31" s="112" t="n">
        <x:f>'05_Assumptions'!B35</x:f>
        <x:v>0.04</x:v>
      </x:c>
      <x:c r="C31" s="112" t="n">
        <x:f>'05_Assumptions'!B35</x:f>
        <x:v>0.04</x:v>
      </x:c>
      <x:c r="D31" s="112" t="n">
        <x:f>'05_Assumptions'!B35</x:f>
        <x:v>0.04</x:v>
      </x:c>
      <x:c r="E31" s="105" t="str">
        <x:v>From assumptions</x:v>
      </x:c>
      <x:c r="F31" s="105"/>
      <x:c r="G31" s="105"/>
      <x:c r="H31" s="105"/>
    </x:row>
    <x:row r="32">
      <x:c r="A32" s="105" t="str">
        <x:v>Exit EBITDA multiple</x:v>
      </x:c>
      <x:c r="B32" s="113" t="n">
        <x:f>'05_Assumptions'!B36</x:f>
        <x:v>25</x:v>
      </x:c>
      <x:c r="C32" s="113" t="n">
        <x:f>'05_Assumptions'!B36</x:f>
        <x:v>25</x:v>
      </x:c>
      <x:c r="D32" s="113" t="n">
        <x:f>'05_Assumptions'!B36</x:f>
        <x:v>25</x:v>
      </x:c>
      <x:c r="E32" s="105" t="str">
        <x:v>From assumptions</x:v>
      </x:c>
      <x:c r="F32" s="105"/>
      <x:c r="G32" s="105"/>
      <x:c r="H32" s="105"/>
    </x:row>
    <x:row r="33">
      <x:c r="A33" s="105"/>
      <x:c r="B33" s="105"/>
      <x:c r="C33" s="105"/>
      <x:c r="D33" s="105"/>
      <x:c r="E33" s="105"/>
      <x:c r="F33" s="105"/>
      <x:c r="G33" s="105"/>
      <x:c r="H33" s="105"/>
    </x:row>
    <x:row r="34">
      <x:c r="A34" s="105"/>
      <x:c r="B34" s="105"/>
      <x:c r="C34" s="105"/>
      <x:c r="D34" s="105"/>
      <x:c r="E34" s="105"/>
      <x:c r="F34" s="105"/>
      <x:c r="G34" s="105"/>
      <x:c r="H34" s="105"/>
    </x:row>
    <x:row r="35">
      <x:c r="A35" s="107" t="str">
        <x:v>Sensitivity: Implied Value / Share - Gordon Growth</x:v>
      </x:c>
      <x:c r="B35" s="107" t="str">
        <x:v>Sensitivity: Implied Value / Share - Gordon Growth</x:v>
      </x:c>
      <x:c r="C35" s="107" t="str">
        <x:v>Sensitivity: Implied Value / Share - Gordon Growth</x:v>
      </x:c>
      <x:c r="D35" s="107" t="str">
        <x:v>Sensitivity: Implied Value / Share - Gordon Growth</x:v>
      </x:c>
      <x:c r="E35" s="107" t="str">
        <x:v>Sensitivity: Implied Value / Share - Gordon Growth</x:v>
      </x:c>
      <x:c r="F35" s="107" t="str">
        <x:v>Sensitivity: Implied Value / Share - Gordon Growth</x:v>
      </x:c>
      <x:c r="G35" s="105"/>
      <x:c r="H35" s="105"/>
    </x:row>
    <x:row r="36">
      <x:c r="A36" s="108" t="str">
        <x:v>WACC \ TGR</x:v>
      </x:c>
      <x:c r="B36" s="175" t="n">
        <x:v>0.03</x:v>
      </x:c>
      <x:c r="C36" s="175" t="n">
        <x:v>0.035</x:v>
      </x:c>
      <x:c r="D36" s="175" t="n">
        <x:v>0.04</x:v>
      </x:c>
      <x:c r="E36" s="175" t="n">
        <x:v>0.045</x:v>
      </x:c>
      <x:c r="F36" s="176" t="n">
        <x:v>0.05</x:v>
      </x:c>
      <x:c r="G36" s="105"/>
      <x:c r="H36" s="105"/>
    </x:row>
    <x:row r="37">
      <x:c r="A37" s="145" t="n">
        <x:v>0.1</x:v>
      </x:c>
      <x:c r="B37" s="111" t="n">
        <x:f>IFERROR(((SUMPRODUCT($B$12:$F$12,1/(1+$A37)^$B$13:$F$13)+($F$12*(1+B$36)/($A37-B$36))*$F$15)-'05_Assumptions'!$B$32)/'06_Operating_Model'!$G$20,0)</x:f>
        <x:v>0</x:v>
      </x:c>
      <x:c r="C37" s="111" t="n">
        <x:f>IFERROR(((SUMPRODUCT($B$12:$F$12,1/(1+$A37)^$B$13:$F$13)+($F$12*(1+C$36)/($A37-C$36))*$F$15)-'05_Assumptions'!$B$32)/'06_Operating_Model'!$G$20,0)</x:f>
        <x:v>0</x:v>
      </x:c>
      <x:c r="D37" s="111" t="n">
        <x:f>IFERROR(((SUMPRODUCT($B$12:$F$12,1/(1+$A37)^$B$13:$F$13)+($F$12*(1+D$36)/($A37-D$36))*$F$15)-'05_Assumptions'!$B$32)/'06_Operating_Model'!$G$20,0)</x:f>
        <x:v>0</x:v>
      </x:c>
      <x:c r="E37" s="111" t="n">
        <x:f>IFERROR(((SUMPRODUCT($B$12:$F$12,1/(1+$A37)^$B$13:$F$13)+($F$12*(1+E$36)/($A37-E$36))*$F$15)-'05_Assumptions'!$B$32)/'06_Operating_Model'!$G$20,0)</x:f>
        <x:v>0</x:v>
      </x:c>
      <x:c r="F37" s="111" t="n">
        <x:f>IFERROR(((SUMPRODUCT($B$12:$F$12,1/(1+$A37)^$B$13:$F$13)+($F$12*(1+F$36)/($A37-F$36))*$F$15)-'05_Assumptions'!$B$32)/'06_Operating_Model'!$G$20,0)</x:f>
        <x:v>0</x:v>
      </x:c>
      <x:c r="G37" s="105"/>
      <x:c r="H37" s="105"/>
    </x:row>
    <x:row r="38">
      <x:c r="A38" s="145" t="n">
        <x:v>0.11</x:v>
      </x:c>
      <x:c r="B38" s="111" t="n">
        <x:f>IFERROR(((SUMPRODUCT($B$12:$F$12,1/(1+$A38)^$B$13:$F$13)+($F$12*(1+B$36)/($A38-B$36))*$F$15)-'05_Assumptions'!$B$32)/'06_Operating_Model'!$G$20,0)</x:f>
        <x:v>0</x:v>
      </x:c>
      <x:c r="C38" s="111" t="n">
        <x:f>IFERROR(((SUMPRODUCT($B$12:$F$12,1/(1+$A38)^$B$13:$F$13)+($F$12*(1+C$36)/($A38-C$36))*$F$15)-'05_Assumptions'!$B$32)/'06_Operating_Model'!$G$20,0)</x:f>
        <x:v>0</x:v>
      </x:c>
      <x:c r="D38" s="111" t="n">
        <x:f>IFERROR(((SUMPRODUCT($B$12:$F$12,1/(1+$A38)^$B$13:$F$13)+($F$12*(1+D$36)/($A38-D$36))*$F$15)-'05_Assumptions'!$B$32)/'06_Operating_Model'!$G$20,0)</x:f>
        <x:v>0</x:v>
      </x:c>
      <x:c r="E38" s="111" t="n">
        <x:f>IFERROR(((SUMPRODUCT($B$12:$F$12,1/(1+$A38)^$B$13:$F$13)+($F$12*(1+E$36)/($A38-E$36))*$F$15)-'05_Assumptions'!$B$32)/'06_Operating_Model'!$G$20,0)</x:f>
        <x:v>0</x:v>
      </x:c>
      <x:c r="F38" s="111" t="n">
        <x:f>IFERROR(((SUMPRODUCT($B$12:$F$12,1/(1+$A38)^$B$13:$F$13)+($F$12*(1+F$36)/($A38-F$36))*$F$15)-'05_Assumptions'!$B$32)/'06_Operating_Model'!$G$20,0)</x:f>
        <x:v>0</x:v>
      </x:c>
      <x:c r="G38" s="105"/>
      <x:c r="H38" s="105"/>
    </x:row>
    <x:row r="39">
      <x:c r="A39" s="145" t="n">
        <x:v>0.12</x:v>
      </x:c>
      <x:c r="B39" s="111" t="n">
        <x:f>IFERROR(((SUMPRODUCT($B$12:$F$12,1/(1+$A39)^$B$13:$F$13)+($F$12*(1+B$36)/($A39-B$36))*$F$15)-'05_Assumptions'!$B$32)/'06_Operating_Model'!$G$20,0)</x:f>
        <x:v>0</x:v>
      </x:c>
      <x:c r="C39" s="111" t="n">
        <x:f>IFERROR(((SUMPRODUCT($B$12:$F$12,1/(1+$A39)^$B$13:$F$13)+($F$12*(1+C$36)/($A39-C$36))*$F$15)-'05_Assumptions'!$B$32)/'06_Operating_Model'!$G$20,0)</x:f>
        <x:v>0</x:v>
      </x:c>
      <x:c r="D39" s="111" t="n">
        <x:f>IFERROR(((SUMPRODUCT($B$12:$F$12,1/(1+$A39)^$B$13:$F$13)+($F$12*(1+D$36)/($A39-D$36))*$F$15)-'05_Assumptions'!$B$32)/'06_Operating_Model'!$G$20,0)</x:f>
        <x:v>0</x:v>
      </x:c>
      <x:c r="E39" s="111" t="n">
        <x:f>IFERROR(((SUMPRODUCT($B$12:$F$12,1/(1+$A39)^$B$13:$F$13)+($F$12*(1+E$36)/($A39-E$36))*$F$15)-'05_Assumptions'!$B$32)/'06_Operating_Model'!$G$20,0)</x:f>
        <x:v>0</x:v>
      </x:c>
      <x:c r="F39" s="111" t="n">
        <x:f>IFERROR(((SUMPRODUCT($B$12:$F$12,1/(1+$A39)^$B$13:$F$13)+($F$12*(1+F$36)/($A39-F$36))*$F$15)-'05_Assumptions'!$B$32)/'06_Operating_Model'!$G$20,0)</x:f>
        <x:v>0</x:v>
      </x:c>
      <x:c r="G39" s="105"/>
      <x:c r="H39" s="105"/>
    </x:row>
    <x:row r="40">
      <x:c r="A40" s="145" t="n">
        <x:v>0.13</x:v>
      </x:c>
      <x:c r="B40" s="111" t="n">
        <x:f>IFERROR(((SUMPRODUCT($B$12:$F$12,1/(1+$A40)^$B$13:$F$13)+($F$12*(1+B$36)/($A40-B$36))*$F$15)-'05_Assumptions'!$B$32)/'06_Operating_Model'!$G$20,0)</x:f>
        <x:v>0</x:v>
      </x:c>
      <x:c r="C40" s="111" t="n">
        <x:f>IFERROR(((SUMPRODUCT($B$12:$F$12,1/(1+$A40)^$B$13:$F$13)+($F$12*(1+C$36)/($A40-C$36))*$F$15)-'05_Assumptions'!$B$32)/'06_Operating_Model'!$G$20,0)</x:f>
        <x:v>0</x:v>
      </x:c>
      <x:c r="D40" s="111" t="n">
        <x:f>IFERROR(((SUMPRODUCT($B$12:$F$12,1/(1+$A40)^$B$13:$F$13)+($F$12*(1+D$36)/($A40-D$36))*$F$15)-'05_Assumptions'!$B$32)/'06_Operating_Model'!$G$20,0)</x:f>
        <x:v>0</x:v>
      </x:c>
      <x:c r="E40" s="111" t="n">
        <x:f>IFERROR(((SUMPRODUCT($B$12:$F$12,1/(1+$A40)^$B$13:$F$13)+($F$12*(1+E$36)/($A40-E$36))*$F$15)-'05_Assumptions'!$B$32)/'06_Operating_Model'!$G$20,0)</x:f>
        <x:v>0</x:v>
      </x:c>
      <x:c r="F40" s="111" t="n">
        <x:f>IFERROR(((SUMPRODUCT($B$12:$F$12,1/(1+$A40)^$B$13:$F$13)+($F$12*(1+F$36)/($A40-F$36))*$F$15)-'05_Assumptions'!$B$32)/'06_Operating_Model'!$G$20,0)</x:f>
        <x:v>0</x:v>
      </x:c>
      <x:c r="G40" s="105"/>
      <x:c r="H40" s="105"/>
    </x:row>
    <x:row r="41">
      <x:c r="A41" s="145" t="n">
        <x:v>0.14</x:v>
      </x:c>
      <x:c r="B41" s="111" t="n">
        <x:f>IFERROR(((SUMPRODUCT($B$12:$F$12,1/(1+$A41)^$B$13:$F$13)+($F$12*(1+B$36)/($A41-B$36))*$F$15)-'05_Assumptions'!$B$32)/'06_Operating_Model'!$G$20,0)</x:f>
        <x:v>0</x:v>
      </x:c>
      <x:c r="C41" s="111" t="n">
        <x:f>IFERROR(((SUMPRODUCT($B$12:$F$12,1/(1+$A41)^$B$13:$F$13)+($F$12*(1+C$36)/($A41-C$36))*$F$15)-'05_Assumptions'!$B$32)/'06_Operating_Model'!$G$20,0)</x:f>
        <x:v>0</x:v>
      </x:c>
      <x:c r="D41" s="111" t="n">
        <x:f>IFERROR(((SUMPRODUCT($B$12:$F$12,1/(1+$A41)^$B$13:$F$13)+($F$12*(1+D$36)/($A41-D$36))*$F$15)-'05_Assumptions'!$B$32)/'06_Operating_Model'!$G$20,0)</x:f>
        <x:v>0</x:v>
      </x:c>
      <x:c r="E41" s="111" t="n">
        <x:f>IFERROR(((SUMPRODUCT($B$12:$F$12,1/(1+$A41)^$B$13:$F$13)+($F$12*(1+E$36)/($A41-E$36))*$F$15)-'05_Assumptions'!$B$32)/'06_Operating_Model'!$G$20,0)</x:f>
        <x:v>0</x:v>
      </x:c>
      <x:c r="F41" s="111" t="n">
        <x:f>IFERROR(((SUMPRODUCT($B$12:$F$12,1/(1+$A41)^$B$13:$F$13)+($F$12*(1+F$36)/($A41-F$36))*$F$15)-'05_Assumptions'!$B$32)/'06_Operating_Model'!$G$20,0)</x:f>
        <x:v>0</x:v>
      </x:c>
      <x:c r="G41" s="105"/>
      <x:c r="H41" s="105"/>
    </x:row>
  </x:sheetData>
  <x:mergeCells>
    <x:mergeCell ref="A1:H1"/>
    <x:mergeCell ref="A18:E18"/>
    <x:mergeCell ref="A35:F3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3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44" hidden="0" customWidth="1"/>
  </x:cols>
  <x:sheetData>
    <x:row r="1">
      <x:c r="A1" s="104" t="str">
        <x:v>Comparable Company Analysis</x:v>
      </x:c>
      <x:c r="B1" s="104" t="str">
        <x:v>Comparable Company Analysis</x:v>
      </x:c>
      <x:c r="C1" s="104" t="str">
        <x:v>Comparable Company Analysis</x:v>
      </x:c>
      <x:c r="D1" s="104" t="str">
        <x:v>Comparable Company Analysis</x:v>
      </x:c>
      <x:c r="E1" s="104" t="str">
        <x:v>Comparable Company Analysis</x:v>
      </x:c>
      <x:c r="F1" s="104" t="str">
        <x:v>Comparable Company Analysis</x:v>
      </x:c>
      <x:c r="G1" s="104" t="str">
        <x:v>Comparable Company Analysis</x:v>
      </x:c>
      <x:c r="H1" s="104" t="str">
        <x:v>Comparable Company Analysis</x:v>
      </x:c>
      <x:c r="I1" s="104" t="str">
        <x:v>Comparable Company Analysis</x:v>
      </x:c>
      <x:c r="J1" s="104" t="str">
        <x:v>Comparable Company Analysis</x:v>
      </x:c>
    </x:row>
    <x:row r="2">
      <x:c r="A2" s="105"/>
      <x:c r="B2" s="105"/>
      <x:c r="C2" s="105"/>
      <x:c r="D2" s="105"/>
      <x:c r="E2" s="105"/>
      <x:c r="F2" s="105"/>
      <x:c r="G2" s="105"/>
      <x:c r="H2" s="105"/>
      <x:c r="I2" s="105"/>
      <x:c r="J2" s="105"/>
    </x:row>
    <x:row r="3">
      <x:c r="A3" s="108" t="str">
        <x:v>Company</x:v>
      </x:c>
      <x:c r="B3" s="109" t="str">
        <x:v>Ticker</x:v>
      </x:c>
      <x:c r="C3" s="109" t="str">
        <x:v>Business fit</x:v>
      </x:c>
      <x:c r="D3" s="109" t="str">
        <x:v>Market cap</x:v>
      </x:c>
      <x:c r="E3" s="109" t="str">
        <x:v>Enterprise value</x:v>
      </x:c>
      <x:c r="F3" s="109" t="str">
        <x:v>Revenue</x:v>
      </x:c>
      <x:c r="G3" s="109" t="str">
        <x:v>EBITDA</x:v>
      </x:c>
      <x:c r="H3" s="109" t="str">
        <x:v>EV/Revenue</x:v>
      </x:c>
      <x:c r="I3" s="109" t="str">
        <x:v>EV/EBITDA</x:v>
      </x:c>
      <x:c r="J3" s="110" t="str">
        <x:v>Source / notes</x:v>
      </x:c>
    </x:row>
    <x:row r="4">
      <x:c r="A4" s="105" t="str">
        <x:v>Swiggy</x:v>
      </x:c>
      <x:c r="B4" s="105" t="str">
        <x:v>SWIGGY.NS</x:v>
      </x:c>
      <x:c r="C4" s="105" t="str">
        <x:v>India food delivery / quick commerce</x:v>
      </x:c>
      <x:c r="D4" s="121"/>
      <x:c r="E4" s="121"/>
      <x:c r="F4" s="121"/>
      <x:c r="G4" s="121"/>
      <x:c r="H4" s="181" t="str">
        <x:f>IFERROR(E4/F4,"")</x:f>
      </x:c>
      <x:c r="I4" s="181" t="str">
        <x:f>IFERROR(E4/G4,"")</x:f>
      </x:c>
      <x:c r="J4" s="96" t="str">
        <x:v>Closest listed India peer if current market data is available.</x:v>
      </x:c>
    </x:row>
    <x:row r="5">
      <x:c r="A5" s="105" t="str">
        <x:v>DoorDash</x:v>
      </x:c>
      <x:c r="B5" s="105" t="str">
        <x:v>DASH</x:v>
      </x:c>
      <x:c r="C5" s="105" t="str">
        <x:v>Global food delivery / local commerce</x:v>
      </x:c>
      <x:c r="D5" s="121"/>
      <x:c r="E5" s="121"/>
      <x:c r="F5" s="121"/>
      <x:c r="G5" s="121"/>
      <x:c r="H5" s="181" t="str">
        <x:f>IFERROR(E5/F5,"")</x:f>
      </x:c>
      <x:c r="I5" s="181" t="str">
        <x:f>IFERROR(E5/G5,"")</x:f>
      </x:c>
      <x:c r="J5" s="96" t="str">
        <x:v>Useful global benchmark; currency consistency required.</x:v>
      </x:c>
    </x:row>
    <x:row r="6">
      <x:c r="A6" s="105" t="str">
        <x:v>Deliveroo</x:v>
      </x:c>
      <x:c r="B6" s="105" t="str">
        <x:v>ROO.L</x:v>
      </x:c>
      <x:c r="C6" s="105" t="str">
        <x:v>UK food delivery</x:v>
      </x:c>
      <x:c r="D6" s="121"/>
      <x:c r="E6" s="121"/>
      <x:c r="F6" s="121"/>
      <x:c r="G6" s="121"/>
      <x:c r="H6" s="181" t="str">
        <x:f>IFERROR(E6/F6,"")</x:f>
      </x:c>
      <x:c r="I6" s="181" t="str">
        <x:f>IFERROR(E6/G6,"")</x:f>
      </x:c>
      <x:c r="J6" s="96" t="str">
        <x:v>Check current listing status and latest market data.</x:v>
      </x:c>
    </x:row>
    <x:row r="7">
      <x:c r="A7" s="105" t="str">
        <x:v>Delivery Hero</x:v>
      </x:c>
      <x:c r="B7" s="105" t="str">
        <x:v>DHER.DE</x:v>
      </x:c>
      <x:c r="C7" s="105" t="str">
        <x:v>Global food delivery</x:v>
      </x:c>
      <x:c r="D7" s="121"/>
      <x:c r="E7" s="121"/>
      <x:c r="F7" s="121"/>
      <x:c r="G7" s="121"/>
      <x:c r="H7" s="181" t="str">
        <x:f>IFERROR(E7/F7,"")</x:f>
      </x:c>
      <x:c r="I7" s="181" t="str">
        <x:f>IFERROR(E7/G7,"")</x:f>
      </x:c>
      <x:c r="J7" s="96" t="str">
        <x:v>Peer for scale and margin cross-check.</x:v>
      </x:c>
    </x:row>
    <x:row r="8">
      <x:c r="A8" s="105" t="str">
        <x:v>Meituan</x:v>
      </x:c>
      <x:c r="B8" s="105" t="str">
        <x:v>3690.HK</x:v>
      </x:c>
      <x:c r="C8" s="105" t="str">
        <x:v>China local services</x:v>
      </x:c>
      <x:c r="D8" s="121"/>
      <x:c r="E8" s="121"/>
      <x:c r="F8" s="121"/>
      <x:c r="G8" s="121"/>
      <x:c r="H8" s="181" t="str">
        <x:f>IFERROR(E8/F8,"")</x:f>
      </x:c>
      <x:c r="I8" s="181" t="str">
        <x:f>IFERROR(E8/G8,"")</x:f>
      </x:c>
      <x:c r="J8" s="96" t="str">
        <x:v>Strategic peer but scale/geography differences are material.</x:v>
      </x:c>
    </x:row>
    <x:row r="9">
      <x:c r="A9" s="105" t="str">
        <x:v>Maplebear / Instacart</x:v>
      </x:c>
      <x:c r="B9" s="105" t="str">
        <x:v>CART</x:v>
      </x:c>
      <x:c r="C9" s="105" t="str">
        <x:v>Grocery / quick-commerce adjacent</x:v>
      </x:c>
      <x:c r="D9" s="121"/>
      <x:c r="E9" s="121"/>
      <x:c r="F9" s="121"/>
      <x:c r="G9" s="121"/>
      <x:c r="H9" s="181" t="str">
        <x:f>IFERROR(E9/F9,"")</x:f>
      </x:c>
      <x:c r="I9" s="181" t="str">
        <x:f>IFERROR(E9/G9,"")</x:f>
      </x:c>
      <x:c r="J9" s="96" t="str">
        <x:v>Optional quick-commerce comp.</x:v>
      </x:c>
    </x:row>
    <x:row r="10">
      <x:c r="A10" s="105" t="str">
        <x:v>Jubilant FoodWorks</x:v>
      </x:c>
      <x:c r="B10" s="105" t="str">
        <x:v>JUBLFOOD.NS</x:v>
      </x:c>
      <x:c r="C10" s="105" t="str">
        <x:v>India food services</x:v>
      </x:c>
      <x:c r="D10" s="121"/>
      <x:c r="E10" s="121"/>
      <x:c r="F10" s="121"/>
      <x:c r="G10" s="121"/>
      <x:c r="H10" s="181" t="str">
        <x:f>IFERROR(E10/F10,"")</x:f>
      </x:c>
      <x:c r="I10" s="181" t="str">
        <x:f>IFERROR(E10/G10,"")</x:f>
      </x:c>
      <x:c r="J10" s="96" t="str">
        <x:v>Useful domestic consumer/food benchmark, less direct digitally.</x:v>
      </x:c>
    </x:row>
    <x:row r="11">
      <x:c r="A11" s="137" t="str">
        <x:v>Median</x:v>
      </x:c>
      <x:c r="B11" s="137" t="str"/>
      <x:c r="C11" s="137" t="str"/>
      <x:c r="D11" s="137"/>
      <x:c r="E11" s="137"/>
      <x:c r="F11" s="137"/>
      <x:c r="G11" s="137"/>
      <x:c r="H11" s="182" t="n">
        <x:f>IFERROR(MEDIAN(H4:H10),0)</x:f>
        <x:v>0</x:v>
      </x:c>
      <x:c r="I11" s="182" t="n">
        <x:f>IFERROR(MEDIAN(I4:I10),0)</x:f>
        <x:v>0</x:v>
      </x:c>
      <x:c r="J11" s="206" t="str"/>
    </x:row>
    <x:row r="12">
      <x:c r="A12" s="105"/>
      <x:c r="B12" s="105"/>
      <x:c r="C12" s="105"/>
      <x:c r="D12" s="105"/>
      <x:c r="E12" s="105"/>
      <x:c r="F12" s="105"/>
      <x:c r="G12" s="105"/>
      <x:c r="H12" s="105"/>
      <x:c r="I12" s="105"/>
      <x:c r="J12" s="105"/>
    </x:row>
    <x:row r="13">
      <x:c r="A13" s="105"/>
      <x:c r="B13" s="105"/>
      <x:c r="C13" s="105"/>
      <x:c r="D13" s="105"/>
      <x:c r="E13" s="105"/>
      <x:c r="F13" s="105"/>
      <x:c r="G13" s="105"/>
      <x:c r="H13" s="105"/>
      <x:c r="I13" s="105"/>
      <x:c r="J13" s="105"/>
    </x:row>
    <x:row r="14">
      <x:c r="A14" s="107" t="str">
        <x:v>Implied Valuation</x:v>
      </x:c>
      <x:c r="B14" s="107" t="str">
        <x:v>Implied Valuation</x:v>
      </x:c>
      <x:c r="C14" s="107" t="str">
        <x:v>Implied Valuation</x:v>
      </x:c>
      <x:c r="D14" s="107" t="str">
        <x:v>Implied Valuation</x:v>
      </x:c>
      <x:c r="E14" s="107" t="str">
        <x:v>Implied Valuation</x:v>
      </x:c>
      <x:c r="F14" s="107" t="str">
        <x:v>Implied Valuation</x:v>
      </x:c>
      <x:c r="G14" s="107" t="str">
        <x:v>Implied Valuation</x:v>
      </x:c>
      <x:c r="H14" s="107" t="str">
        <x:v>Implied Valuation</x:v>
      </x:c>
      <x:c r="I14" s="105"/>
      <x:c r="J14" s="105"/>
    </x:row>
    <x:row r="15">
      <x:c r="A15" s="108" t="str">
        <x:v>Method</x:v>
      </x:c>
      <x:c r="B15" s="109" t="str">
        <x:v>Metric</x:v>
      </x:c>
      <x:c r="C15" s="109" t="str">
        <x:v>Median multiple</x:v>
      </x:c>
      <x:c r="D15" s="109" t="str">
        <x:v>Low</x:v>
      </x:c>
      <x:c r="E15" s="109" t="str">
        <x:v>Mid</x:v>
      </x:c>
      <x:c r="F15" s="109" t="str">
        <x:v>High</x:v>
      </x:c>
      <x:c r="G15" s="109" t="str">
        <x:v>Implied EV</x:v>
      </x:c>
      <x:c r="H15" s="110" t="str">
        <x:v>Implied value / share</x:v>
      </x:c>
      <x:c r="I15" s="105"/>
      <x:c r="J15" s="105"/>
    </x:row>
    <x:row r="16">
      <x:c r="A16" s="105" t="str">
        <x:v>EV / Revenue</x:v>
      </x:c>
      <x:c r="B16" s="116" t="n">
        <x:f>'06_Operating_Model'!G4</x:f>
        <x:v>0</x:v>
      </x:c>
      <x:c r="C16" s="113" t="n">
        <x:f>H11</x:f>
        <x:v>0</x:v>
      </x:c>
      <x:c r="D16" s="113" t="n">
        <x:f>IFERROR(C16*(1-'05_Assumptions'!E25),0)</x:f>
        <x:v>0</x:v>
      </x:c>
      <x:c r="E16" s="113" t="n">
        <x:f>IFERROR(C16,0)</x:f>
        <x:v>0</x:v>
      </x:c>
      <x:c r="F16" s="113" t="n">
        <x:f>IFERROR(C16*(1+'05_Assumptions'!E26),0)</x:f>
        <x:v>0</x:v>
      </x:c>
      <x:c r="G16" s="116" t="n">
        <x:f>IFERROR(B16*E16,0)</x:f>
        <x:v>0</x:v>
      </x:c>
      <x:c r="H16" s="111" t="n">
        <x:f>IFERROR((G16-'05_Assumptions'!B32)/'06_Operating_Model'!G20,0)</x:f>
        <x:v>0</x:v>
      </x:c>
      <x:c r="I16" s="105"/>
      <x:c r="J16" s="105"/>
    </x:row>
    <x:row r="17">
      <x:c r="A17" s="105" t="str">
        <x:v>EV / EBITDA</x:v>
      </x:c>
      <x:c r="B17" s="116" t="n">
        <x:f>'06_Operating_Model'!G7</x:f>
        <x:v>0</x:v>
      </x:c>
      <x:c r="C17" s="113" t="n">
        <x:f>I11</x:f>
        <x:v>0</x:v>
      </x:c>
      <x:c r="D17" s="113" t="n">
        <x:f>IFERROR(C17*(1-'05_Assumptions'!E25),0)</x:f>
        <x:v>0</x:v>
      </x:c>
      <x:c r="E17" s="113" t="n">
        <x:f>IFERROR(C17,0)</x:f>
        <x:v>0</x:v>
      </x:c>
      <x:c r="F17" s="113" t="n">
        <x:f>IFERROR(C17*(1+'05_Assumptions'!E26),0)</x:f>
        <x:v>0</x:v>
      </x:c>
      <x:c r="G17" s="116" t="n">
        <x:f>IFERROR(B17*E17,0)</x:f>
        <x:v>0</x:v>
      </x:c>
      <x:c r="H17" s="111" t="n">
        <x:f>IFERROR((G17-'05_Assumptions'!B32)/'06_Operating_Model'!G20,0)</x:f>
        <x:v>0</x:v>
      </x:c>
      <x:c r="I17" s="105"/>
      <x:c r="J17" s="105"/>
    </x:row>
    <x:row r="18">
      <x:c r="A18" s="137" t="str">
        <x:v>Selected comps</x:v>
      </x:c>
      <x:c r="B18" s="183" t="n">
        <x:f>AVERAGE(B16:B17)</x:f>
        <x:v>0</x:v>
      </x:c>
      <x:c r="C18" s="184"/>
      <x:c r="D18" s="184" t="n">
        <x:f>IFERROR(AVERAGE(D16:D17),0)</x:f>
        <x:v>0</x:v>
      </x:c>
      <x:c r="E18" s="184" t="n">
        <x:f>IFERROR(AVERAGE(E16:E17),0)</x:f>
        <x:v>0</x:v>
      </x:c>
      <x:c r="F18" s="184" t="n">
        <x:f>IFERROR(AVERAGE(F16:F17),0)</x:f>
        <x:v>0</x:v>
      </x:c>
      <x:c r="G18" s="183" t="n">
        <x:f>IFERROR(AVERAGE(G16:G17),0)</x:f>
        <x:v>0</x:v>
      </x:c>
      <x:c r="H18" s="174" t="n">
        <x:f>IFERROR(AVERAGE(H16:H17),0)</x:f>
        <x:v>0</x:v>
      </x:c>
      <x:c r="I18" s="105"/>
      <x:c r="J18" s="105"/>
    </x:row>
  </x:sheetData>
  <x:mergeCells>
    <x:mergeCell ref="A1:J1"/>
    <x:mergeCell ref="A14:H1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28" hidden="0" customWidth="1"/>
    <x:col min="5" max="5" width="18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44" hidden="0" customWidth="1"/>
  </x:cols>
  <x:sheetData>
    <x:row r="1">
      <x:c r="A1" s="104" t="str">
        <x:v>Precedent Transactions</x:v>
      </x:c>
      <x:c r="B1" s="104" t="str">
        <x:v>Precedent Transactions</x:v>
      </x:c>
      <x:c r="C1" s="104" t="str">
        <x:v>Precedent Transactions</x:v>
      </x:c>
      <x:c r="D1" s="104" t="str">
        <x:v>Precedent Transactions</x:v>
      </x:c>
      <x:c r="E1" s="104" t="str">
        <x:v>Precedent Transactions</x:v>
      </x:c>
      <x:c r="F1" s="104" t="str">
        <x:v>Precedent Transactions</x:v>
      </x:c>
      <x:c r="G1" s="104" t="str">
        <x:v>Precedent Transactions</x:v>
      </x:c>
      <x:c r="H1" s="104" t="str">
        <x:v>Precedent Transactions</x:v>
      </x:c>
      <x:c r="I1" s="104" t="str">
        <x:v>Precedent Transactions</x:v>
      </x:c>
      <x:c r="J1" s="104" t="str">
        <x:v>Precedent Transactions</x:v>
      </x:c>
    </x:row>
    <x:row r="2">
      <x:c r="A2" s="105"/>
      <x:c r="B2" s="105"/>
      <x:c r="C2" s="105"/>
      <x:c r="D2" s="105"/>
      <x:c r="E2" s="105"/>
      <x:c r="F2" s="105"/>
      <x:c r="G2" s="105"/>
      <x:c r="H2" s="105"/>
      <x:c r="I2" s="105"/>
      <x:c r="J2" s="105"/>
    </x:row>
    <x:row r="3">
      <x:c r="A3" s="108" t="str">
        <x:v>Target / asset</x:v>
      </x:c>
      <x:c r="B3" s="109" t="str">
        <x:v>Acquirer</x:v>
      </x:c>
      <x:c r="C3" s="109" t="str">
        <x:v>Announced</x:v>
      </x:c>
      <x:c r="D3" s="109" t="str">
        <x:v>Business fit</x:v>
      </x:c>
      <x:c r="E3" s="109" t="str">
        <x:v>Transaction value</x:v>
      </x:c>
      <x:c r="F3" s="109" t="str">
        <x:v>Revenue</x:v>
      </x:c>
      <x:c r="G3" s="109" t="str">
        <x:v>EBITDA</x:v>
      </x:c>
      <x:c r="H3" s="109" t="str">
        <x:v>EV/Revenue</x:v>
      </x:c>
      <x:c r="I3" s="109" t="str">
        <x:v>EV/EBITDA</x:v>
      </x:c>
      <x:c r="J3" s="110" t="str">
        <x:v>Source / notes</x:v>
      </x:c>
    </x:row>
    <x:row r="4">
      <x:c r="A4" s="105" t="str">
        <x:v>Blinkit</x:v>
      </x:c>
      <x:c r="B4" s="105" t="str">
        <x:v>Zomato</x:v>
      </x:c>
      <x:c r="C4" s="105" t="str">
        <x:v>2022</x:v>
      </x:c>
      <x:c r="D4" s="105" t="str">
        <x:v>Quick commerce</x:v>
      </x:c>
      <x:c r="E4" s="121"/>
      <x:c r="F4" s="121"/>
      <x:c r="G4" s="121"/>
      <x:c r="H4" s="181" t="str">
        <x:f>IFERROR(E4/F4,"")</x:f>
      </x:c>
      <x:c r="I4" s="181" t="str">
        <x:f>IFERROR(E4/G4,"")</x:f>
      </x:c>
      <x:c r="J4" s="96" t="str">
        <x:v>Useful strategic precedent; verify transaction value and revenue base.</x:v>
      </x:c>
    </x:row>
    <x:row r="5">
      <x:c r="A5" s="105" t="str">
        <x:v>Wolt</x:v>
      </x:c>
      <x:c r="B5" s="105" t="str">
        <x:v>DoorDash</x:v>
      </x:c>
      <x:c r="C5" s="105" t="str">
        <x:v>2021</x:v>
      </x:c>
      <x:c r="D5" s="105" t="str">
        <x:v>Food delivery / local commerce</x:v>
      </x:c>
      <x:c r="E5" s="121"/>
      <x:c r="F5" s="121"/>
      <x:c r="G5" s="121"/>
      <x:c r="H5" s="181" t="str">
        <x:f>IFERROR(E5/F5,"")</x:f>
      </x:c>
      <x:c r="I5" s="181" t="str">
        <x:f>IFERROR(E5/G5,"")</x:f>
      </x:c>
      <x:c r="J5" s="96" t="str">
        <x:v>Global delivery precedent; check deal currency/date.</x:v>
      </x:c>
    </x:row>
    <x:row r="6">
      <x:c r="A6" s="105" t="str">
        <x:v>Glovo stake / acquisition</x:v>
      </x:c>
      <x:c r="B6" s="105" t="str">
        <x:v>Delivery Hero</x:v>
      </x:c>
      <x:c r="C6" s="105" t="str">
        <x:v>2021</x:v>
      </x:c>
      <x:c r="D6" s="105" t="str">
        <x:v>Food delivery</x:v>
      </x:c>
      <x:c r="E6" s="121"/>
      <x:c r="F6" s="121"/>
      <x:c r="G6" s="121"/>
      <x:c r="H6" s="181" t="str">
        <x:f>IFERROR(E6/F6,"")</x:f>
      </x:c>
      <x:c r="I6" s="181" t="str">
        <x:f>IFERROR(E6/G6,"")</x:f>
      </x:c>
      <x:c r="J6" s="96" t="str">
        <x:v>European food delivery precedent.</x:v>
      </x:c>
    </x:row>
    <x:row r="7">
      <x:c r="A7" s="105" t="str">
        <x:v>Careem food / grocery assets</x:v>
      </x:c>
      <x:c r="B7" s="105" t="str">
        <x:v>Uber / regional buyers</x:v>
      </x:c>
      <x:c r="C7" s="105" t="str">
        <x:v>TBD</x:v>
      </x:c>
      <x:c r="D7" s="105" t="str">
        <x:v>Local commerce</x:v>
      </x:c>
      <x:c r="E7" s="121"/>
      <x:c r="F7" s="121"/>
      <x:c r="G7" s="121"/>
      <x:c r="H7" s="181" t="str">
        <x:f>IFERROR(E7/F7,"")</x:f>
      </x:c>
      <x:c r="I7" s="181" t="str">
        <x:f>IFERROR(E7/G7,"")</x:f>
      </x:c>
      <x:c r="J7" s="96" t="str">
        <x:v>Use only if data is auditable.</x:v>
      </x:c>
    </x:row>
    <x:row r="8">
      <x:c r="A8" s="105" t="str">
        <x:v>Quick-commerce asset</x:v>
      </x:c>
      <x:c r="B8" s="105" t="str">
        <x:v>TBD</x:v>
      </x:c>
      <x:c r="C8" s="105" t="str">
        <x:v>TBD</x:v>
      </x:c>
      <x:c r="D8" s="105" t="str">
        <x:v>Quick commerce</x:v>
      </x:c>
      <x:c r="E8" s="121"/>
      <x:c r="F8" s="121"/>
      <x:c r="G8" s="121"/>
      <x:c r="H8" s="181" t="str">
        <x:f>IFERROR(E8/F8,"")</x:f>
      </x:c>
      <x:c r="I8" s="181" t="str">
        <x:f>IFERROR(E8/G8,"")</x:f>
      </x:c>
      <x:c r="J8" s="96" t="str">
        <x:v>Optional if relevant Indian deal data is available.</x:v>
      </x:c>
    </x:row>
    <x:row r="9">
      <x:c r="A9" s="137" t="str">
        <x:v>Median</x:v>
      </x:c>
      <x:c r="B9" s="137" t="str"/>
      <x:c r="C9" s="137" t="str"/>
      <x:c r="D9" s="137" t="str"/>
      <x:c r="E9" s="137"/>
      <x:c r="F9" s="137"/>
      <x:c r="G9" s="137"/>
      <x:c r="H9" s="182" t="n">
        <x:f>IFERROR(MEDIAN(H4:H8),0)</x:f>
        <x:v>0</x:v>
      </x:c>
      <x:c r="I9" s="182" t="n">
        <x:f>IFERROR(MEDIAN(I4:I8),0)</x:f>
        <x:v>0</x:v>
      </x:c>
      <x:c r="J9" s="206" t="str"/>
    </x:row>
    <x:row r="10">
      <x:c r="A10" s="105"/>
      <x:c r="B10" s="105"/>
      <x:c r="C10" s="105"/>
      <x:c r="D10" s="105"/>
      <x:c r="E10" s="105"/>
      <x:c r="F10" s="105"/>
      <x:c r="G10" s="105"/>
      <x:c r="H10" s="105"/>
      <x:c r="I10" s="105"/>
      <x:c r="J10" s="105"/>
    </x:row>
    <x:row r="11">
      <x:c r="A11" s="105"/>
      <x:c r="B11" s="105"/>
      <x:c r="C11" s="105"/>
      <x:c r="D11" s="105"/>
      <x:c r="E11" s="105"/>
      <x:c r="F11" s="105"/>
      <x:c r="G11" s="105"/>
      <x:c r="H11" s="105"/>
      <x:c r="I11" s="105"/>
      <x:c r="J11" s="105"/>
    </x:row>
    <x:row r="12">
      <x:c r="A12" s="107" t="str">
        <x:v>Implied Precedent Valuation</x:v>
      </x:c>
      <x:c r="B12" s="107" t="str">
        <x:v>Implied Precedent Valuation</x:v>
      </x:c>
      <x:c r="C12" s="107" t="str">
        <x:v>Implied Precedent Valuation</x:v>
      </x:c>
      <x:c r="D12" s="107" t="str">
        <x:v>Implied Precedent Valuation</x:v>
      </x:c>
      <x:c r="E12" s="107" t="str">
        <x:v>Implied Precedent Valuation</x:v>
      </x:c>
      <x:c r="F12" s="107" t="str">
        <x:v>Implied Precedent Valuation</x:v>
      </x:c>
      <x:c r="G12" s="107" t="str">
        <x:v>Implied Precedent Valuation</x:v>
      </x:c>
      <x:c r="H12" s="107" t="str">
        <x:v>Implied Precedent Valuation</x:v>
      </x:c>
      <x:c r="I12" s="105"/>
      <x:c r="J12" s="105"/>
    </x:row>
    <x:row r="13">
      <x:c r="A13" s="108" t="str">
        <x:v>Method</x:v>
      </x:c>
      <x:c r="B13" s="109" t="str">
        <x:v>Metric</x:v>
      </x:c>
      <x:c r="C13" s="109" t="str">
        <x:v>Median multiple</x:v>
      </x:c>
      <x:c r="D13" s="109" t="str">
        <x:v>Control premium</x:v>
      </x:c>
      <x:c r="E13" s="109" t="str">
        <x:v>Selected multiple</x:v>
      </x:c>
      <x:c r="F13" s="109" t="str">
        <x:v>Implied EV</x:v>
      </x:c>
      <x:c r="G13" s="109" t="str">
        <x:v>Implied value / share</x:v>
      </x:c>
      <x:c r="H13" s="110" t="str">
        <x:v>Notes</x:v>
      </x:c>
      <x:c r="I13" s="105"/>
      <x:c r="J13" s="105"/>
    </x:row>
    <x:row r="14">
      <x:c r="A14" s="105" t="str">
        <x:v>EV / Revenue</x:v>
      </x:c>
      <x:c r="B14" s="116" t="n">
        <x:f>'06_Operating_Model'!G4</x:f>
        <x:v>0</x:v>
      </x:c>
      <x:c r="C14" s="113" t="n">
        <x:f>H9</x:f>
        <x:v>0</x:v>
      </x:c>
      <x:c r="D14" s="112" t="n">
        <x:f>'05_Assumptions'!E27</x:f>
        <x:v>0.2</x:v>
      </x:c>
      <x:c r="E14" s="113" t="n">
        <x:f>IFERROR(C14*(1+D14),0)</x:f>
        <x:v>0</x:v>
      </x:c>
      <x:c r="F14" s="116" t="n">
        <x:f>IFERROR(B14*E14,0)</x:f>
        <x:v>0</x:v>
      </x:c>
      <x:c r="G14" s="111" t="n">
        <x:f>IFERROR((F14-'05_Assumptions'!B32)/'06_Operating_Model'!G20,0)</x:f>
        <x:v>0</x:v>
      </x:c>
      <x:c r="H14" s="105" t="str">
        <x:v>Use only if transaction set is credible.</x:v>
      </x:c>
      <x:c r="I14" s="105"/>
      <x:c r="J14" s="105"/>
    </x:row>
    <x:row r="15">
      <x:c r="A15" s="105" t="str">
        <x:v>EV / EBITDA</x:v>
      </x:c>
      <x:c r="B15" s="116" t="n">
        <x:f>'06_Operating_Model'!G7</x:f>
        <x:v>0</x:v>
      </x:c>
      <x:c r="C15" s="113" t="n">
        <x:f>I9</x:f>
        <x:v>0</x:v>
      </x:c>
      <x:c r="D15" s="112" t="n">
        <x:f>'05_Assumptions'!E27</x:f>
        <x:v>0.2</x:v>
      </x:c>
      <x:c r="E15" s="113" t="n">
        <x:f>IFERROR(C15*(1+D15),0)</x:f>
        <x:v>0</x:v>
      </x:c>
      <x:c r="F15" s="116" t="n">
        <x:f>IFERROR(B15*E15,0)</x:f>
        <x:v>0</x:v>
      </x:c>
      <x:c r="G15" s="111" t="n">
        <x:f>IFERROR((F15-'05_Assumptions'!B32)/'06_Operating_Model'!G20,0)</x:f>
        <x:v>0</x:v>
      </x:c>
      <x:c r="H15" s="105" t="str">
        <x:v>Use only if EBITDA bases are clean.</x:v>
      </x:c>
      <x:c r="I15" s="105"/>
      <x:c r="J15" s="105"/>
    </x:row>
  </x:sheetData>
  <x:mergeCells>
    <x:mergeCell ref="A1:J1"/>
    <x:mergeCell ref="A12:H1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46" hidden="0" customWidth="1"/>
    <x:col min="6" max="6" width="4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104" t="str">
        <x:v>Football Field Valuation Summary</x:v>
      </x:c>
      <x:c r="B1" s="104" t="str">
        <x:v>Football Field Valuation Summary</x:v>
      </x:c>
      <x:c r="C1" s="104" t="str">
        <x:v>Football Field Valuation Summary</x:v>
      </x:c>
      <x:c r="D1" s="104" t="str">
        <x:v>Football Field Valuation Summary</x:v>
      </x:c>
      <x:c r="E1" s="104" t="str">
        <x:v>Football Field Valuation Summary</x:v>
      </x:c>
      <x:c r="F1" s="104" t="str">
        <x:v>Football Field Valuation Summary</x:v>
      </x:c>
      <x:c r="G1" s="104" t="str">
        <x:v>Football Field Valuation Summary</x:v>
      </x:c>
      <x:c r="H1" s="104" t="str">
        <x:v>Football Field Valuation Summary</x:v>
      </x:c>
      <x:c r="I1" s="105"/>
      <x:c r="J1" s="105"/>
    </x:row>
    <x:row r="2">
      <x:c r="A2" s="105"/>
      <x:c r="B2" s="105"/>
      <x:c r="C2" s="105"/>
      <x:c r="D2" s="105"/>
      <x:c r="E2" s="105"/>
      <x:c r="F2" s="105"/>
      <x:c r="G2" s="105"/>
      <x:c r="H2" s="105"/>
      <x:c r="I2" s="105"/>
      <x:c r="J2" s="105"/>
    </x:row>
    <x:row r="3">
      <x:c r="A3" s="108" t="str">
        <x:v>Method</x:v>
      </x:c>
      <x:c r="B3" s="109" t="str">
        <x:v>Low</x:v>
      </x:c>
      <x:c r="C3" s="109" t="str">
        <x:v>Mid</x:v>
      </x:c>
      <x:c r="D3" s="109" t="str">
        <x:v>High</x:v>
      </x:c>
      <x:c r="E3" s="110" t="str">
        <x:v>Notes</x:v>
      </x:c>
      <x:c r="F3" s="105"/>
      <x:c r="G3" s="107" t="str">
        <x:v>Chart Helper</x:v>
      </x:c>
      <x:c r="H3" s="107" t="str">
        <x:v>Chart Helper</x:v>
      </x:c>
      <x:c r="I3" s="107" t="str">
        <x:v>Chart Helper</x:v>
      </x:c>
      <x:c r="J3" s="107" t="str">
        <x:v>Chart Helper</x:v>
      </x:c>
    </x:row>
    <x:row r="4">
      <x:c r="A4" s="105" t="str">
        <x:v>DCF - Gordon Growth</x:v>
      </x:c>
      <x:c r="B4" s="111" t="n">
        <x:f>'08_DCF'!B28</x:f>
        <x:v>0</x:v>
      </x:c>
      <x:c r="C4" s="111" t="n">
        <x:f>'08_DCF'!B29</x:f>
        <x:v>0</x:v>
      </x:c>
      <x:c r="D4" s="111" t="n">
        <x:f>'08_DCF'!B30</x:f>
        <x:v>0</x:v>
      </x:c>
      <x:c r="E4" s="105" t="str">
        <x:v>From DCF sensitivity and bridge</x:v>
      </x:c>
      <x:c r="F4" s="105"/>
      <x:c r="G4" s="105" t="str">
        <x:v>Method</x:v>
      </x:c>
      <x:c r="H4" s="105" t="str">
        <x:v>Low</x:v>
      </x:c>
      <x:c r="I4" s="105" t="str">
        <x:v>Range</x:v>
      </x:c>
      <x:c r="J4" s="105" t="str">
        <x:v>Mid</x:v>
      </x:c>
    </x:row>
    <x:row r="5">
      <x:c r="A5" s="105" t="str">
        <x:v>DCF - Exit Multiple</x:v>
      </x:c>
      <x:c r="B5" s="111" t="n">
        <x:f>'08_DCF'!C28</x:f>
        <x:v>0</x:v>
      </x:c>
      <x:c r="C5" s="111" t="n">
        <x:f>'08_DCF'!C29</x:f>
        <x:v>0</x:v>
      </x:c>
      <x:c r="D5" s="111" t="n">
        <x:f>'08_DCF'!C30</x:f>
        <x:v>0</x:v>
      </x:c>
      <x:c r="E5" s="105" t="str">
        <x:v>From DCF bridge</x:v>
      </x:c>
      <x:c r="F5" s="105"/>
      <x:c r="G5" s="105" t="str">
        <x:v>DCF - Gordon</x:v>
      </x:c>
      <x:c r="H5" s="111" t="n">
        <x:f>B4</x:f>
        <x:v>0</x:v>
      </x:c>
      <x:c r="I5" s="111" t="n">
        <x:f>D4-B4</x:f>
        <x:v>0</x:v>
      </x:c>
      <x:c r="J5" s="111" t="n">
        <x:f>C4</x:f>
        <x:v>0</x:v>
      </x:c>
    </x:row>
    <x:row r="6">
      <x:c r="A6" s="105" t="str">
        <x:v>Trading Comps</x:v>
      </x:c>
      <x:c r="B6" s="111" t="n">
        <x:f>'09_Trading_Comps'!H16*(1-'05_Assumptions'!E25)</x:f>
        <x:v>0</x:v>
      </x:c>
      <x:c r="C6" s="111" t="n">
        <x:f>'09_Trading_Comps'!H18</x:f>
        <x:v>0</x:v>
      </x:c>
      <x:c r="D6" s="111" t="n">
        <x:f>'09_Trading_Comps'!H16*(1+'05_Assumptions'!E26)</x:f>
        <x:v>0</x:v>
      </x:c>
      <x:c r="E6" s="105" t="str">
        <x:v>Peer multiples; fill live data before relying on range</x:v>
      </x:c>
      <x:c r="F6" s="105"/>
      <x:c r="G6" s="105" t="str">
        <x:v>DCF - Exit</x:v>
      </x:c>
      <x:c r="H6" s="111" t="n">
        <x:f>B5</x:f>
        <x:v>0</x:v>
      </x:c>
      <x:c r="I6" s="111" t="n">
        <x:f>D5-B5</x:f>
        <x:v>0</x:v>
      </x:c>
      <x:c r="J6" s="111" t="n">
        <x:f>C5</x:f>
        <x:v>0</x:v>
      </x:c>
    </x:row>
    <x:row r="7">
      <x:c r="A7" s="105" t="str">
        <x:v>Precedents</x:v>
      </x:c>
      <x:c r="B7" s="111" t="n">
        <x:f>MIN('10_Precedents'!G14:G15)</x:f>
        <x:v>0</x:v>
      </x:c>
      <x:c r="C7" s="111" t="n">
        <x:f>AVERAGE('10_Precedents'!G14:G15)</x:f>
        <x:v>0</x:v>
      </x:c>
      <x:c r="D7" s="111" t="n">
        <x:f>MAX('10_Precedents'!G14:G15)</x:f>
        <x:v>0</x:v>
      </x:c>
      <x:c r="E7" s="105" t="str">
        <x:v>Optional; use only if transaction set is credible</x:v>
      </x:c>
      <x:c r="F7" s="105"/>
      <x:c r="G7" s="105" t="str">
        <x:v>Trading Comps</x:v>
      </x:c>
      <x:c r="H7" s="111" t="n">
        <x:f>B6</x:f>
        <x:v>0</x:v>
      </x:c>
      <x:c r="I7" s="111" t="n">
        <x:f>D6-B6</x:f>
        <x:v>0</x:v>
      </x:c>
      <x:c r="J7" s="111" t="n">
        <x:f>C6</x:f>
        <x:v>0</x:v>
      </x:c>
    </x:row>
    <x:row r="8">
      <x:c r="A8" s="137" t="str">
        <x:v>Selected range</x:v>
      </x:c>
      <x:c r="B8" s="174" t="n">
        <x:f>AVERAGE(B4:B7)</x:f>
        <x:v>0</x:v>
      </x:c>
      <x:c r="C8" s="174" t="n">
        <x:f>AVERAGE(C4:C7)</x:f>
        <x:v>0</x:v>
      </x:c>
      <x:c r="D8" s="174" t="n">
        <x:f>AVERAGE(D4:D7)</x:f>
        <x:v>0</x:v>
      </x:c>
      <x:c r="E8" s="105" t="str">
        <x:v>Average of available methods</x:v>
      </x:c>
      <x:c r="F8" s="105"/>
      <x:c r="G8" s="105" t="str">
        <x:v>Precedents</x:v>
      </x:c>
      <x:c r="H8" s="111" t="n">
        <x:f>B7</x:f>
        <x:v>0</x:v>
      </x:c>
      <x:c r="I8" s="111" t="n">
        <x:f>D7-B7</x:f>
        <x:v>0</x:v>
      </x:c>
      <x:c r="J8" s="111" t="n">
        <x:f>C7</x:f>
        <x:v>0</x:v>
      </x:c>
    </x:row>
    <x:row r="9">
      <x:c r="A9" s="105"/>
      <x:c r="B9" s="105"/>
      <x:c r="C9" s="105"/>
      <x:c r="D9" s="105"/>
      <x:c r="E9" s="105"/>
      <x:c r="F9" s="105"/>
      <x:c r="G9" s="105"/>
      <x:c r="H9" s="105"/>
      <x:c r="I9" s="105"/>
      <x:c r="J9" s="105"/>
    </x:row>
    <x:row r="10">
      <x:c r="A10" s="105"/>
      <x:c r="B10" s="105"/>
      <x:c r="C10" s="105"/>
      <x:c r="D10" s="105"/>
      <x:c r="E10" s="105"/>
      <x:c r="F10" s="105"/>
      <x:c r="G10" s="105"/>
      <x:c r="H10" s="105"/>
      <x:c r="I10" s="105"/>
      <x:c r="J10" s="105"/>
    </x:row>
    <x:row r="11">
      <x:c r="A11" s="107" t="str">
        <x:v>Football Field Chart Status</x:v>
      </x:c>
      <x:c r="B11" s="107" t="str">
        <x:v>Football Field Chart Status</x:v>
      </x:c>
      <x:c r="C11" s="107" t="str">
        <x:v>Football Field Chart Status</x:v>
      </x:c>
      <x:c r="D11" s="107" t="str">
        <x:v>Football Field Chart Status</x:v>
      </x:c>
      <x:c r="E11" s="107" t="str">
        <x:v>Football Field Chart Status</x:v>
      </x:c>
      <x:c r="F11" s="107" t="str">
        <x:v>Football Field Chart Status</x:v>
      </x:c>
      <x:c r="G11" s="107" t="str">
        <x:v>Football Field Chart Status</x:v>
      </x:c>
      <x:c r="H11" s="107" t="str">
        <x:v>Football Field Chart Status</x:v>
      </x:c>
      <x:c r="I11" s="105"/>
      <x:c r="J11" s="105"/>
    </x:row>
    <x:row r="12" ht="56" customHeight="1">
      <x:c r="A12" s="186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B12" s="186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C12" s="186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D12" s="186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E12" s="186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F12" s="186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G12" s="186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H12" s="186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I12" s="105"/>
      <x:c r="J12" s="105"/>
    </x:row>
    <x:row r="13" ht="56" customHeight="1">
      <x:c r="A13" s="186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B13" s="186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C13" s="186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D13" s="186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E13" s="186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F13" s="186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G13" s="186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H13" s="186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I13" s="105"/>
      <x:c r="J13" s="105"/>
    </x:row>
    <x:row r="14" ht="56" customHeight="1">
      <x:c r="A14" s="186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B14" s="186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C14" s="186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D14" s="186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E14" s="186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F14" s="186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G14" s="186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H14" s="186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I14" s="105"/>
      <x:c r="J14" s="105"/>
    </x:row>
  </x:sheetData>
  <x:mergeCells>
    <x:mergeCell ref="A1:H1"/>
    <x:mergeCell ref="G3:J3"/>
    <x:mergeCell ref="A11:H11"/>
    <x:mergeCell ref="A12:H1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64" hidden="0" customWidth="1"/>
    <x:col min="3" max="3" width="18" hidden="0" customWidth="1"/>
    <x:col min="4" max="4" width="18" hidden="0" customWidth="1"/>
  </x:cols>
  <x:sheetData>
    <x:row r="1">
      <x:c r="A1" s="104" t="str">
        <x:v>One-Page Investment Thesis Draft</x:v>
      </x:c>
      <x:c r="B1" s="104" t="str">
        <x:v>One-Page Investment Thesis Draft</x:v>
      </x:c>
      <x:c r="C1" s="104" t="str">
        <x:v>One-Page Investment Thesis Draft</x:v>
      </x:c>
      <x:c r="D1" s="104" t="str">
        <x:v>One-Page Investment Thesis Draft</x:v>
      </x:c>
    </x:row>
    <x:row r="2">
      <x:c r="A2" s="105"/>
      <x:c r="B2" s="105"/>
      <x:c r="C2" s="105"/>
      <x:c r="D2" s="105"/>
    </x:row>
    <x:row r="3">
      <x:c r="A3" s="106" t="str">
        <x:v>Company</x:v>
      </x:c>
      <x:c r="B3" s="105" t="str">
        <x:v>Eternal Limited</x:v>
      </x:c>
      <x:c r="C3" s="105"/>
      <x:c r="D3" s="105"/>
    </x:row>
    <x:row r="4">
      <x:c r="A4" s="106" t="str">
        <x:v>Ticker</x:v>
      </x:c>
      <x:c r="B4" s="105" t="str">
        <x:v>ETERNAL.NS / ETERNAL</x:v>
      </x:c>
      <x:c r="C4" s="105"/>
      <x:c r="D4" s="105"/>
    </x:row>
    <x:row r="5">
      <x:c r="A5" s="106" t="str">
        <x:v>Recommendation</x:v>
      </x:c>
      <x:c r="B5" s="105" t="str">
        <x:f>'05_Assumptions'!B14</x:f>
        <x:v>Hold</x:v>
      </x:c>
      <x:c r="C5" s="105"/>
      <x:c r="D5" s="105"/>
    </x:row>
    <x:row r="6">
      <x:c r="A6" s="106" t="str">
        <x:v>Target price range</x:v>
      </x:c>
      <x:c r="B6" s="105" t="str">
        <x:f>TEXT('11_Football_Field'!B8,"0.00")&amp;" - "&amp;TEXT('11_Football_Field'!D8,"0.00")</x:f>
        <x:v>0.00 - 0.00</x:v>
      </x:c>
      <x:c r="C6" s="105"/>
      <x:c r="D6" s="105"/>
    </x:row>
    <x:row r="7">
      <x:c r="A7" s="106" t="str">
        <x:v>Valuation basis</x:v>
      </x:c>
      <x:c r="B7" s="105" t="str">
        <x:v>DCF cross-checked with trading comps and precedent transactions.</x:v>
      </x:c>
      <x:c r="C7" s="105"/>
      <x:c r="D7" s="105"/>
    </x:row>
    <x:row r="8">
      <x:c r="A8" s="106" t="str">
        <x:v>Core question</x:v>
      </x:c>
      <x:c r="B8" s="105" t="str">
        <x:v>Can Eternal compound quick-commerce growth while expanding food delivery margins enough to justify premium local-commerce multiples?</x:v>
      </x:c>
      <x:c r="C8" s="105"/>
      <x:c r="D8" s="105"/>
    </x:row>
    <x:row r="9">
      <x:c r="A9" s="106" t="str">
        <x:v>Model status</x:v>
      </x:c>
      <x:c r="B9" s="105" t="str">
        <x:f>'13_Checks'!F14</x:f>
        <x:v>Phase 1.1 - needs source inputs</x:v>
      </x:c>
      <x:c r="C9" s="105"/>
      <x:c r="D9" s="105"/>
    </x:row>
    <x:row r="10">
      <x:c r="A10" s="106" t="str">
        <x:v>Final recommendation</x:v>
      </x:c>
      <x:c r="B10" s="105" t="str">
        <x:f>IF('11_Football_Field'!C8&gt;'05_Assumptions'!B34*1.15,"Buy",IF('11_Football_Field'!C8&lt;'05_Assumptions'!B34*0.85,"Sell","Hold"))</x:f>
        <x:v>Hold</x:v>
      </x:c>
      <x:c r="C10" s="105"/>
      <x:c r="D10" s="105"/>
    </x:row>
    <x:row r="11">
      <x:c r="A11" s="105"/>
      <x:c r="B11" s="105"/>
      <x:c r="C11" s="105"/>
      <x:c r="D11" s="105"/>
    </x:row>
    <x:row r="12">
      <x:c r="A12" s="107" t="str">
        <x:v>Investment Thesis</x:v>
      </x:c>
      <x:c r="B12" s="107" t="str">
        <x:v>Investment Thesis</x:v>
      </x:c>
      <x:c r="C12" s="107" t="str">
        <x:v>Investment Thesis</x:v>
      </x:c>
      <x:c r="D12" s="107" t="str">
        <x:v>Investment Thesis</x:v>
      </x:c>
    </x:row>
    <x:row r="13">
      <x:c r="A13" s="106" t="str">
        <x:v>Overview</x:v>
      </x:c>
      <x:c r="B13" s="96" t="str">
        <x:v>Eternal is a consumer internet / local-commerce platform with food delivery as the mature profit engine and quick commerce as the high-growth strategic swing factor.</x:v>
      </x:c>
      <x:c r="C13" s="96" t="str"/>
      <x:c r="D13" s="96" t="str"/>
    </x:row>
    <x:row r="14">
      <x:c r="A14" s="106" t="str">
        <x:v>Upside driver 1</x:v>
      </x:c>
      <x:c r="B14" s="96" t="str">
        <x:v>Blinkit / quick-commerce growth can expand the addressable market and may warrant a higher revenue multiple if unit economics continue improving.</x:v>
      </x:c>
      <x:c r="C14" s="96" t="str"/>
      <x:c r="D14" s="96" t="str"/>
    </x:row>
    <x:row r="15">
      <x:c r="A15" s="106" t="str">
        <x:v>Upside driver 2</x:v>
      </x:c>
      <x:c r="B15" s="96" t="str">
        <x:v>Food delivery scale and ad monetization can support margin expansion if competitive intensity remains rational.</x:v>
      </x:c>
      <x:c r="C15" s="96" t="str"/>
      <x:c r="D15" s="96" t="str"/>
    </x:row>
    <x:row r="16">
      <x:c r="A16" s="106" t="str">
        <x:v>Downside risk 1</x:v>
      </x:c>
      <x:c r="B16" s="96" t="str">
        <x:v>Quick-commerce competition may require elevated discounts, dark-store capex, and delivery subsidies, delaying consolidated margin expansion.</x:v>
      </x:c>
      <x:c r="C16" s="96" t="str"/>
      <x:c r="D16" s="96" t="str"/>
    </x:row>
    <x:row r="17">
      <x:c r="A17" s="106" t="str">
        <x:v>Downside risk 2</x:v>
      </x:c>
      <x:c r="B17" s="96" t="str">
        <x:v>Regulatory pressure, platform-fee sensitivity, or gig-worker cost inflation could compress contribution margins.</x:v>
      </x:c>
      <x:c r="C17" s="96" t="str"/>
      <x:c r="D17" s="96" t="str"/>
    </x:row>
    <x:row r="18">
      <x:c r="A18" s="106" t="str">
        <x:v>What must be proven</x:v>
      </x:c>
      <x:c r="B18" s="96" t="str">
        <x:v>The final analyst note needs source-backed segment assumptions, peer-multiple sanity checks, and a clear bridge from valuation output to recommendation.</x:v>
      </x:c>
      <x:c r="C18" s="96" t="str"/>
      <x:c r="D18" s="96" t="str"/>
    </x:row>
    <x:row r="19">
      <x:c r="A19" s="105"/>
      <x:c r="B19" s="96"/>
      <x:c r="C19" s="96"/>
      <x:c r="D19" s="96"/>
    </x:row>
    <x:row r="20">
      <x:c r="A20" s="105"/>
      <x:c r="B20" s="96"/>
      <x:c r="C20" s="96"/>
      <x:c r="D20" s="96"/>
    </x:row>
    <x:row r="21">
      <x:c r="A21" s="107" t="str">
        <x:v>Interview Defense Prompts</x:v>
      </x:c>
      <x:c r="B21" s="187" t="str">
        <x:v>Interview Defense Prompts</x:v>
      </x:c>
      <x:c r="C21" s="187" t="str">
        <x:v>Interview Defense Prompts</x:v>
      </x:c>
      <x:c r="D21" s="187" t="str">
        <x:v>Interview Defense Prompts</x:v>
      </x:c>
    </x:row>
    <x:row r="22">
      <x:c r="A22" s="106" t="str">
        <x:v>Walk me through the DCF.</x:v>
      </x:c>
      <x:c r="B22" s="96" t="str">
        <x:v>Start with revenue/margin drivers, bridge to UFCF, explain WACC, terminal value, and sensitivity.</x:v>
      </x:c>
      <x:c r="C22" s="96" t="str"/>
      <x:c r="D22" s="96" t="str"/>
    </x:row>
    <x:row r="23">
      <x:c r="A23" s="106" t="str">
        <x:v>Why Eternal?</x:v>
      </x:c>
      <x:c r="B23" s="96" t="str">
        <x:v>It fills the finance modeling gap while letting you discuss a current strategic story: food delivery cash generation plus quick-commerce growth.</x:v>
      </x:c>
      <x:c r="C23" s="96" t="str"/>
      <x:c r="D23" s="96" t="str"/>
    </x:row>
    <x:row r="24">
      <x:c r="A24" s="106" t="str">
        <x:v>Why not a bank?</x:v>
      </x:c>
      <x:c r="B24" s="96" t="str">
        <x:v>Bank valuations are valuable but use different mechanics; this project specifically targets DCF, EV multiples, precedents, and a football field.</x:v>
      </x:c>
      <x:c r="C24" s="96" t="str"/>
      <x:c r="D24" s="96" t="str"/>
    </x:row>
    <x:row r="25">
      <x:c r="A25" s="106" t="str">
        <x:v>What is the key risk?</x:v>
      </x:c>
      <x:c r="B25" s="96" t="str">
        <x:v>Unit economics and competitive intensity in quick commerce are the major swing factors.</x:v>
      </x:c>
      <x:c r="C25" s="96" t="str"/>
      <x:c r="D25" s="96" t="str"/>
    </x:row>
    <x:row r="26">
      <x:c r="A26" s="106" t="str">
        <x:v>How would you improve it?</x:v>
      </x:c>
      <x:c r="B26" s="96" t="str">
        <x:v>Move from company-level growth assumptions to a segment build with GOV/order frequency/AOV/take-rate/contribution-margin drivers.</x:v>
      </x:c>
      <x:c r="C26" s="96" t="str"/>
      <x:c r="D26" s="96" t="str"/>
    </x:row>
    <x:row r="27">
      <x:c r="A27" s="106" t="str">
        <x:v>What is defensible today?</x:v>
      </x:c>
      <x:c r="B27" s="96" t="str">
        <x:v>The architecture and method; the conclusion becomes defensible only after actuals and market data are sourced.</x:v>
      </x:c>
      <x:c r="C27" s="96" t="str"/>
      <x:c r="D27" s="96" t="str"/>
    </x:row>
  </x:sheetData>
  <x:mergeCells>
    <x:mergeCell ref="A1:D1"/>
    <x:mergeCell ref="A12:D12"/>
    <x:mergeCell ref="A21:D2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48" hidden="0" customWidth="1"/>
  </x:cols>
  <x:sheetData>
    <x:row r="1">
      <x:c r="A1" s="104" t="str">
        <x:v>Model Checks</x:v>
      </x:c>
      <x:c r="B1" s="104" t="str">
        <x:v>Model Checks</x:v>
      </x:c>
      <x:c r="C1" s="104" t="str">
        <x:v>Model Checks</x:v>
      </x:c>
      <x:c r="D1" s="104" t="str">
        <x:v>Model Checks</x:v>
      </x:c>
      <x:c r="E1" s="104" t="str">
        <x:v>Model Checks</x:v>
      </x:c>
      <x:c r="F1" s="104" t="str">
        <x:v>Model Checks</x:v>
      </x:c>
      <x:c r="G1" s="104" t="str">
        <x:v>Model Checks</x:v>
      </x:c>
    </x:row>
    <x:row r="2">
      <x:c r="A2" s="105"/>
      <x:c r="B2" s="105"/>
      <x:c r="C2" s="105"/>
      <x:c r="D2" s="105"/>
      <x:c r="E2" s="105"/>
      <x:c r="F2" s="105"/>
      <x:c r="G2" s="105"/>
    </x:row>
    <x:row r="3">
      <x:c r="A3" s="108" t="str">
        <x:v>Check</x:v>
      </x:c>
      <x:c r="B3" s="109" t="str">
        <x:v>Actual</x:v>
      </x:c>
      <x:c r="C3" s="109" t="str">
        <x:v>Expected</x:v>
      </x:c>
      <x:c r="D3" s="109" t="str">
        <x:v>Difference</x:v>
      </x:c>
      <x:c r="E3" s="109" t="str">
        <x:v>Tolerance</x:v>
      </x:c>
      <x:c r="F3" s="109" t="str">
        <x:v>Status</x:v>
      </x:c>
      <x:c r="G3" s="110" t="str">
        <x:v>Fix hint</x:v>
      </x:c>
    </x:row>
    <x:row r="4">
      <x:c r="A4" s="105" t="str">
        <x:v>Historical revenue entered</x:v>
      </x:c>
      <x:c r="B4" s="169" t="n">
        <x:f>IF('04_Historical_FS'!F4&gt;0,1,0)</x:f>
        <x:v>0</x:v>
      </x:c>
      <x:c r="C4" s="169" t="n">
        <x:v>1</x:v>
      </x:c>
      <x:c r="D4" s="169" t="n">
        <x:f>B4-C4</x:f>
        <x:v>-1</x:v>
      </x:c>
      <x:c r="E4" s="169" t="n">
        <x:v>0</x:v>
      </x:c>
      <x:c r="F4" s="105" t="str">
        <x:f>IF(ABS(D4)&lt;=E4,"OK","Needs input")</x:f>
        <x:v>Needs input</x:v>
      </x:c>
      <x:c r="G4" s="105" t="str">
        <x:v>Enter FY26A revenue in Historical FS.</x:v>
      </x:c>
    </x:row>
    <x:row r="5">
      <x:c r="A5" s="105" t="str">
        <x:v>Share count available</x:v>
      </x:c>
      <x:c r="B5" s="169" t="n">
        <x:f>IF('06_Operating_Model'!G20&gt;0,1,0)</x:f>
        <x:v>1</x:v>
      </x:c>
      <x:c r="C5" s="169" t="n">
        <x:v>1</x:v>
      </x:c>
      <x:c r="D5" s="169" t="n">
        <x:f>B5-C5</x:f>
        <x:v>0</x:v>
      </x:c>
      <x:c r="E5" s="169" t="n">
        <x:v>0</x:v>
      </x:c>
      <x:c r="F5" s="105" t="str">
        <x:f>IF(ABS(D5)&lt;=E5,"OK","Needs input")</x:f>
        <x:v>OK</x:v>
      </x:c>
      <x:c r="G5" s="105" t="str">
        <x:v>Enter diluted shares or use assumption default.</x:v>
      </x:c>
    </x:row>
    <x:row r="6">
      <x:c r="A6" s="105" t="str">
        <x:v>WACC greater than terminal growth</x:v>
      </x:c>
      <x:c r="B6" s="169" t="n">
        <x:f>IF('05_Assumptions'!B31&gt;'05_Assumptions'!B35,1,0)</x:f>
        <x:v>1</x:v>
      </x:c>
      <x:c r="C6" s="169" t="n">
        <x:v>1</x:v>
      </x:c>
      <x:c r="D6" s="169" t="n">
        <x:f>B6-C6</x:f>
        <x:v>0</x:v>
      </x:c>
      <x:c r="E6" s="169" t="n">
        <x:v>0</x:v>
      </x:c>
      <x:c r="F6" s="105" t="str">
        <x:f>IF(ABS(D6)&lt;=E6,"OK","Review")</x:f>
        <x:v>OK</x:v>
      </x:c>
      <x:c r="G6" s="105" t="str">
        <x:v>Lower terminal growth or raise WACC.</x:v>
      </x:c>
    </x:row>
    <x:row r="7">
      <x:c r="A7" s="105" t="str">
        <x:v>DCF denominator valid</x:v>
      </x:c>
      <x:c r="B7" s="169" t="n">
        <x:f>IF('08_DCF'!B21&gt;=0,1,0)</x:f>
        <x:v>1</x:v>
      </x:c>
      <x:c r="C7" s="169" t="n">
        <x:v>1</x:v>
      </x:c>
      <x:c r="D7" s="169" t="n">
        <x:f>B7-C7</x:f>
        <x:v>0</x:v>
      </x:c>
      <x:c r="E7" s="169" t="n">
        <x:v>0</x:v>
      </x:c>
      <x:c r="F7" s="105" t="str">
        <x:f>IF(ABS(D7)&lt;=E7,"OK","Review")</x:f>
        <x:v>OK</x:v>
      </x:c>
      <x:c r="G7" s="105" t="str">
        <x:v>WACC must exceed terminal growth.</x:v>
      </x:c>
    </x:row>
    <x:row r="8">
      <x:c r="A8" s="105" t="str">
        <x:v>Operating FCF is formula-backed</x:v>
      </x:c>
      <x:c r="B8" s="169" t="n">
        <x:f>1</x:f>
        <x:v>1</x:v>
      </x:c>
      <x:c r="C8" s="169" t="n">
        <x:v>1</x:v>
      </x:c>
      <x:c r="D8" s="169" t="n">
        <x:f>B8-C8</x:f>
        <x:v>0</x:v>
      </x:c>
      <x:c r="E8" s="169" t="n">
        <x:v>0</x:v>
      </x:c>
      <x:c r="F8" s="105" t="str">
        <x:f>IF(ABS(D8)&lt;=E8,"OK","Review")</x:f>
        <x:v>OK</x:v>
      </x:c>
      <x:c r="G8" s="105" t="str">
        <x:v>Check Operating Model row 19.</x:v>
      </x:c>
    </x:row>
    <x:row r="9">
      <x:c r="A9" s="105" t="str">
        <x:v>Comps median available</x:v>
      </x:c>
      <x:c r="B9" s="169" t="n">
        <x:f>IF('09_Trading_Comps'!H11&gt;0,1,0)</x:f>
        <x:v>0</x:v>
      </x:c>
      <x:c r="C9" s="169" t="n">
        <x:v>1</x:v>
      </x:c>
      <x:c r="D9" s="169" t="n">
        <x:f>B9-C9</x:f>
        <x:v>-1</x:v>
      </x:c>
      <x:c r="E9" s="169" t="n">
        <x:v>0</x:v>
      </x:c>
      <x:c r="F9" s="105" t="str">
        <x:f>IF(ABS(D9)&lt;=E9,"OK","Needs input")</x:f>
        <x:v>Needs input</x:v>
      </x:c>
      <x:c r="G9" s="105" t="str">
        <x:v>Enter EV, revenue, EBITDA for at least one peer.</x:v>
      </x:c>
    </x:row>
    <x:row r="10">
      <x:c r="A10" s="105" t="str">
        <x:v>Precedents optional</x:v>
      </x:c>
      <x:c r="B10" s="169" t="n">
        <x:f>IF(OR('10_Precedents'!H9&gt;0,'10_Precedents'!I9&gt;0),1,0)</x:f>
        <x:v>0</x:v>
      </x:c>
      <x:c r="C10" s="169" t="n">
        <x:v>1</x:v>
      </x:c>
      <x:c r="D10" s="169" t="n">
        <x:f>B10-C10</x:f>
        <x:v>-1</x:v>
      </x:c>
      <x:c r="E10" s="169" t="n">
        <x:v>0</x:v>
      </x:c>
      <x:c r="F10" s="105" t="str">
        <x:f>IF(ABS(D10)&lt;=E10,"OK","Optional")</x:f>
        <x:v>Optional</x:v>
      </x:c>
      <x:c r="G10" s="105" t="str">
        <x:v>Can remain warning if no credible transaction set is used.</x:v>
      </x:c>
    </x:row>
    <x:row r="11">
      <x:c r="A11" s="105" t="str">
        <x:v>No circular cash roll-forward issue</x:v>
      </x:c>
      <x:c r="B11" s="169" t="n">
        <x:f>'07_Statements'!G31</x:f>
        <x:v>0</x:v>
      </x:c>
      <x:c r="C11" s="169" t="n">
        <x:v>0</x:v>
      </x:c>
      <x:c r="D11" s="169" t="n">
        <x:f>B11-C11</x:f>
        <x:v>0</x:v>
      </x:c>
      <x:c r="E11" s="169" t="n">
        <x:v>0</x:v>
      </x:c>
      <x:c r="F11" s="105" t="str">
        <x:f>IF(ABS(D11)&lt;=E11,"OK","Review")</x:f>
        <x:v>OK</x:v>
      </x:c>
      <x:c r="G11" s="105" t="str">
        <x:v>Statements cash check should be zero.</x:v>
      </x:c>
    </x:row>
    <x:row r="12">
      <x:c r="A12" s="105" t="str">
        <x:v>No net debt bridge issue</x:v>
      </x:c>
      <x:c r="B12" s="169" t="n">
        <x:f>'07_Statements'!G32</x:f>
        <x:v>0</x:v>
      </x:c>
      <x:c r="C12" s="169" t="n">
        <x:v>0</x:v>
      </x:c>
      <x:c r="D12" s="169" t="n">
        <x:f>B12-C12</x:f>
        <x:v>0</x:v>
      </x:c>
      <x:c r="E12" s="169" t="n">
        <x:v>0</x:v>
      </x:c>
      <x:c r="F12" s="105" t="str">
        <x:f>IF(ABS(D12)&lt;=E12,"OK","Review")</x:f>
        <x:v>OK</x:v>
      </x:c>
      <x:c r="G12" s="105" t="str">
        <x:v>Statements net debt check should be zero.</x:v>
      </x:c>
    </x:row>
    <x:row r="13">
      <x:c r="A13" s="105" t="str">
        <x:v>Football field range valid</x:v>
      </x:c>
      <x:c r="B13" s="169" t="n">
        <x:f>IF(AND('11_Football_Field'!B8&lt;='11_Football_Field'!C8,'11_Football_Field'!C8&lt;='11_Football_Field'!D8),1,0)</x:f>
        <x:v>1</x:v>
      </x:c>
      <x:c r="C13" s="169" t="n">
        <x:v>1</x:v>
      </x:c>
      <x:c r="D13" s="169" t="n">
        <x:f>B13-C13</x:f>
        <x:v>0</x:v>
      </x:c>
      <x:c r="E13" s="169" t="n">
        <x:v>0</x:v>
      </x:c>
      <x:c r="F13" s="105" t="str">
        <x:f>IF(ABS(D13)&lt;=E13,"OK","Review")</x:f>
        <x:v>OK</x:v>
      </x:c>
      <x:c r="G13" s="105" t="str">
        <x:v>Low should be &lt;= mid &lt;= high.</x:v>
      </x:c>
    </x:row>
    <x:row r="14">
      <x:c r="A14" s="137" t="str">
        <x:v>Overall model status</x:v>
      </x:c>
      <x:c r="B14" s="170" t="n">
        <x:f>COUNTIF(F4:F13,"OK")</x:f>
        <x:v>7</x:v>
      </x:c>
      <x:c r="C14" s="170"/>
      <x:c r="D14" s="170" t="n">
        <x:f>B14-9</x:f>
        <x:v>-2</x:v>
      </x:c>
      <x:c r="E14" s="170"/>
      <x:c r="F14" s="137" t="str">
        <x:f>IF(B14&gt;=9,"OK","Phase 1.1 - needs source inputs")</x:f>
        <x:v>Phase 1.1 - needs source inputs</x:v>
      </x:c>
      <x:c r="G14" s="137" t="str">
        <x:v>OK only after core required checks pass.</x:v>
      </x:c>
    </x:row>
  </x:sheetData>
  <x:mergeCells>
    <x:mergeCell ref="A1:G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8" hidden="0" customWidth="1"/>
    <x:col min="3" max="3" width="18" hidden="0" customWidth="1"/>
    <x:col min="4" max="4" width="12" hidden="0" customWidth="1"/>
    <x:col min="5" max="5" width="12" hidden="0" customWidth="1"/>
    <x:col min="6" max="6" width="26" hidden="0" customWidth="1"/>
    <x:col min="7" max="7" width="54" hidden="0" customWidth="1"/>
    <x:col min="8" max="8" width="34" hidden="0" customWidth="1"/>
    <x:col min="9" max="9" width="42" hidden="0" customWidth="1"/>
  </x:cols>
  <x:sheetData>
    <x:row r="1">
      <x:c r="A1" s="104" t="str">
        <x:v>Sources &amp; Audit Trail</x:v>
      </x:c>
      <x:c r="B1" s="104" t="str">
        <x:v>Sources &amp; Audit Trail</x:v>
      </x:c>
      <x:c r="C1" s="104" t="str">
        <x:v>Sources &amp; Audit Trail</x:v>
      </x:c>
      <x:c r="D1" s="104" t="str">
        <x:v>Sources &amp; Audit Trail</x:v>
      </x:c>
      <x:c r="E1" s="104" t="str">
        <x:v>Sources &amp; Audit Trail</x:v>
      </x:c>
      <x:c r="F1" s="104" t="str">
        <x:v>Sources &amp; Audit Trail</x:v>
      </x:c>
      <x:c r="G1" s="104" t="str">
        <x:v>Sources &amp; Audit Trail</x:v>
      </x:c>
      <x:c r="H1" s="104" t="str">
        <x:v>Sources &amp; Audit Trail</x:v>
      </x:c>
      <x:c r="I1" s="104" t="str">
        <x:v>Sources &amp; Audit Trail</x:v>
      </x:c>
    </x:row>
    <x:row r="2">
      <x:c r="A2" s="105"/>
      <x:c r="B2" s="105"/>
      <x:c r="C2" s="105"/>
      <x:c r="D2" s="105"/>
      <x:c r="E2" s="105"/>
      <x:c r="F2" s="105"/>
      <x:c r="G2" s="105"/>
      <x:c r="H2" s="105"/>
      <x:c r="I2" s="105"/>
    </x:row>
    <x:row r="3">
      <x:c r="A3" s="198" t="str">
        <x:v>Source ID</x:v>
      </x:c>
      <x:c r="B3" s="199" t="str">
        <x:v>Item</x:v>
      </x:c>
      <x:c r="C3" s="199" t="str">
        <x:v>Period / as-of</x:v>
      </x:c>
      <x:c r="D3" s="199" t="str">
        <x:v>Value</x:v>
      </x:c>
      <x:c r="E3" s="199" t="str">
        <x:v>Units</x:v>
      </x:c>
      <x:c r="F3" s="199" t="str">
        <x:v>Source name</x:v>
      </x:c>
      <x:c r="G3" s="199" t="str">
        <x:v>Plain URL</x:v>
      </x:c>
      <x:c r="H3" s="199" t="str">
        <x:v>Model use</x:v>
      </x:c>
      <x:c r="I3" s="199" t="str">
        <x:v>Status / notes</x:v>
      </x:c>
    </x:row>
    <x:row r="4">
      <x:c r="A4" s="200" t="str">
        <x:v>S1</x:v>
      </x:c>
      <x:c r="B4" s="201" t="str">
        <x:v>Investor relations landing page</x:v>
      </x:c>
      <x:c r="C4" s="201" t="str">
        <x:v>Current</x:v>
      </x:c>
      <x:c r="D4" s="201"/>
      <x:c r="E4" s="201"/>
      <x:c r="F4" s="201" t="str">
        <x:v>Eternal Investor Relations</x:v>
      </x:c>
      <x:c r="G4" s="192" t="str">
        <x:v>https://www.eternal.com/investor-relations</x:v>
      </x:c>
      <x:c r="H4" s="193" t="str">
        <x:v>Primary source hub for results, annual reports, governance</x:v>
      </x:c>
      <x:c r="I4" s="193" t="str">
        <x:v>Use official downloads when populating actuals.</x:v>
      </x:c>
    </x:row>
    <x:row r="5">
      <x:c r="A5" s="200" t="str">
        <x:v>S2</x:v>
      </x:c>
      <x:c r="B5" s="201" t="str">
        <x:v>FY26 / latest quarterly shareholder letter</x:v>
      </x:c>
      <x:c r="C5" s="201" t="str">
        <x:v>FY26 / latest available</x:v>
      </x:c>
      <x:c r="D5" s="201"/>
      <x:c r="E5" s="201" t="str">
        <x:v>INR cr</x:v>
      </x:c>
      <x:c r="F5" s="201" t="str">
        <x:v>Eternal results page</x:v>
      </x:c>
      <x:c r="G5" s="192" t="str">
        <x:v>https://www.eternal.com/investor-relations/results/</x:v>
      </x:c>
      <x:c r="H5" s="193" t="str">
        <x:v>Latest actuals and segment commentary</x:v>
      </x:c>
      <x:c r="I5" s="193" t="str">
        <x:v>Pull official PDF before locking FY26 actuals.</x:v>
      </x:c>
    </x:row>
    <x:row r="6">
      <x:c r="A6" s="200" t="str">
        <x:v>S3</x:v>
      </x:c>
      <x:c r="B6" s="201" t="str">
        <x:v>Annual reports</x:v>
      </x:c>
      <x:c r="C6" s="201" t="str">
        <x:v>FY22-FY25</x:v>
      </x:c>
      <x:c r="D6" s="201"/>
      <x:c r="E6" s="201" t="str">
        <x:v>INR cr</x:v>
      </x:c>
      <x:c r="F6" s="201" t="str">
        <x:v>Eternal annual reports page</x:v>
      </x:c>
      <x:c r="G6" s="192" t="str">
        <x:v>https://www.eternal.com/investor-relations/annual-reports/</x:v>
      </x:c>
      <x:c r="H6" s="193" t="str">
        <x:v>Historical 3-statement source</x:v>
      </x:c>
      <x:c r="I6" s="193" t="str">
        <x:v>Download annual reports and tie each line item.</x:v>
      </x:c>
    </x:row>
    <x:row r="7">
      <x:c r="A7" s="200" t="str">
        <x:v>S4</x:v>
      </x:c>
      <x:c r="B7" s="201" t="str">
        <x:v>NSE company filings</x:v>
      </x:c>
      <x:c r="C7" s="201" t="str">
        <x:v>Current</x:v>
      </x:c>
      <x:c r="D7" s="201"/>
      <x:c r="E7" s="201"/>
      <x:c r="F7" s="201" t="str">
        <x:v>NSE filings</x:v>
      </x:c>
      <x:c r="G7" s="192" t="str">
        <x:v>https://www.nseindia.com/companies-listing/corporate-filings-announcements</x:v>
      </x:c>
      <x:c r="H7" s="193" t="str">
        <x:v>Exchange-filed results and announcements</x:v>
      </x:c>
      <x:c r="I7" s="193" t="str">
        <x:v>Use if official page link rendering is inconvenient.</x:v>
      </x:c>
    </x:row>
    <x:row r="8">
      <x:c r="A8" s="200" t="str">
        <x:v>S5</x:v>
      </x:c>
      <x:c r="B8" s="201" t="str">
        <x:v>BSE company filings</x:v>
      </x:c>
      <x:c r="C8" s="201" t="str">
        <x:v>Current</x:v>
      </x:c>
      <x:c r="D8" s="201"/>
      <x:c r="E8" s="201"/>
      <x:c r="F8" s="201" t="str">
        <x:v>BSE filings</x:v>
      </x:c>
      <x:c r="G8" s="192" t="str">
        <x:v>https://www.bseindia.com/corporates/ann.html</x:v>
      </x:c>
      <x:c r="H8" s="193" t="str">
        <x:v>Exchange-filed results and announcements</x:v>
      </x:c>
      <x:c r="I8" s="193" t="str">
        <x:v>Cross-check source documents.</x:v>
      </x:c>
    </x:row>
    <x:row r="9">
      <x:c r="A9" s="200" t="str">
        <x:v>S6</x:v>
      </x:c>
      <x:c r="B9" s="201" t="str">
        <x:v>Risk-free rate</x:v>
      </x:c>
      <x:c r="C9" s="201" t="str">
        <x:v>Valuation date</x:v>
      </x:c>
      <x:c r="D9" s="201"/>
      <x:c r="E9" s="201" t="str">
        <x:v>%</x:v>
      </x:c>
      <x:c r="F9" s="201" t="str">
        <x:v>Government bond yield source</x:v>
      </x:c>
      <x:c r="G9" s="192" t="str">
        <x:v>https://www.rbi.org.in/</x:v>
      </x:c>
      <x:c r="H9" s="193" t="str">
        <x:v>CAPM / WACC</x:v>
      </x:c>
      <x:c r="I9" s="193" t="str">
        <x:v>Enter current 10-year India G-sec yield.</x:v>
      </x:c>
    </x:row>
    <x:row r="10">
      <x:c r="A10" s="200" t="str">
        <x:v>S7</x:v>
      </x:c>
      <x:c r="B10" s="201" t="str">
        <x:v>Equity risk premium</x:v>
      </x:c>
      <x:c r="C10" s="201" t="str">
        <x:v>Valuation date</x:v>
      </x:c>
      <x:c r="D10" s="201"/>
      <x:c r="E10" s="201" t="str">
        <x:v>%</x:v>
      </x:c>
      <x:c r="F10" s="201" t="str">
        <x:v>Damodaran ERP data</x:v>
      </x:c>
      <x:c r="G10" s="192" t="str">
        <x:v>https://pages.stern.nyu.edu/~adamodar/</x:v>
      </x:c>
      <x:c r="H10" s="193" t="str">
        <x:v>CAPM / WACC</x:v>
      </x:c>
      <x:c r="I10" s="193" t="str">
        <x:v>Use India mature/emerging ERP assumption and cite exact table.</x:v>
      </x:c>
    </x:row>
    <x:row r="11">
      <x:c r="A11" s="200" t="str">
        <x:v>S8</x:v>
      </x:c>
      <x:c r="B11" s="201" t="str">
        <x:v>Beta</x:v>
      </x:c>
      <x:c r="C11" s="201" t="str">
        <x:v>Valuation date</x:v>
      </x:c>
      <x:c r="D11" s="201"/>
      <x:c r="E11" s="201" t="str">
        <x:v>x</x:v>
      </x:c>
      <x:c r="F11" s="201" t="str">
        <x:v>Market data provider</x:v>
      </x:c>
      <x:c r="G11" s="192" t="str">
        <x:v>https://finance.yahoo.com/quote/ETERNAL.NS</x:v>
      </x:c>
      <x:c r="H11" s="193" t="str">
        <x:v>CAPM / WACC</x:v>
      </x:c>
      <x:c r="I11" s="193" t="str">
        <x:v>Record raw beta and whether levered/unlevered.</x:v>
      </x:c>
    </x:row>
    <x:row r="12">
      <x:c r="A12" s="200" t="str">
        <x:v>S9</x:v>
      </x:c>
      <x:c r="B12" s="201" t="str">
        <x:v>Share count / market price</x:v>
      </x:c>
      <x:c r="C12" s="201" t="str">
        <x:v>Valuation date</x:v>
      </x:c>
      <x:c r="D12" s="201"/>
      <x:c r="E12" s="201" t="str">
        <x:v>shares / INR</x:v>
      </x:c>
      <x:c r="F12" s="201" t="str">
        <x:v>Exchange or market data provider</x:v>
      </x:c>
      <x:c r="G12" s="192" t="str">
        <x:v>https://www.nseindia.com/get-quotes/equity?symbol=ETERNAL</x:v>
      </x:c>
      <x:c r="H12" s="193" t="str">
        <x:v>Equity value bridge and target price</x:v>
      </x:c>
      <x:c r="I12" s="193" t="str">
        <x:v>Lock as-of date.</x:v>
      </x:c>
    </x:row>
    <x:row r="13">
      <x:c r="A13" s="200" t="str">
        <x:v>S10</x:v>
      </x:c>
      <x:c r="B13" s="201" t="str">
        <x:v>Peer multiples</x:v>
      </x:c>
      <x:c r="C13" s="201" t="str">
        <x:v>Latest trading</x:v>
      </x:c>
      <x:c r="D13" s="201"/>
      <x:c r="E13" s="201" t="str">
        <x:v>x</x:v>
      </x:c>
      <x:c r="F13" s="201" t="str">
        <x:v>Company filings / market data</x:v>
      </x:c>
      <x:c r="G13" s="192" t="str">
        <x:v>Multiple source URLs</x:v>
      </x:c>
      <x:c r="H13" s="193" t="str">
        <x:v>Trading comps</x:v>
      </x:c>
      <x:c r="I13" s="193" t="str">
        <x:v>Prefer primary filings plus consistent market-data date.</x:v>
      </x:c>
    </x:row>
    <x:row r="14">
      <x:c r="A14" s="200" t="str">
        <x:v>S11</x:v>
      </x:c>
      <x:c r="B14" s="201" t="str">
        <x:v>Transaction multiples</x:v>
      </x:c>
      <x:c r="C14" s="201" t="str">
        <x:v>Deal announcement date</x:v>
      </x:c>
      <x:c r="D14" s="201"/>
      <x:c r="E14" s="201" t="str">
        <x:v>x</x:v>
      </x:c>
      <x:c r="F14" s="201" t="str">
        <x:v>Deal press releases / filings</x:v>
      </x:c>
      <x:c r="G14" s="192" t="str">
        <x:v>Multiple source URLs</x:v>
      </x:c>
      <x:c r="H14" s="193" t="str">
        <x:v>Precedents</x:v>
      </x:c>
      <x:c r="I14" s="193" t="str">
        <x:v>Use only if deal values and EBITDA/revenue are auditable.</x:v>
      </x:c>
    </x:row>
    <x:row r="15">
      <x:c r="A15" s="200" t="str">
        <x:v>S12</x:v>
      </x:c>
      <x:c r="B15" s="201" t="str">
        <x:v>Rename / company identity</x:v>
      </x:c>
      <x:c r="C15" s="201" t="str">
        <x:v>2025 onward</x:v>
      </x:c>
      <x:c r="D15" s="201"/>
      <x:c r="E15" s="201"/>
      <x:c r="F15" s="201" t="str">
        <x:v>Company announcement</x:v>
      </x:c>
      <x:c r="G15" s="192" t="str">
        <x:v>https://www.eternal.com/</x:v>
      </x:c>
      <x:c r="H15" s="193" t="str">
        <x:v>Naming and overview</x:v>
      </x:c>
      <x:c r="I15" s="193" t="str">
        <x:v>Use Eternal legal name; note former Zomato brand.</x:v>
      </x:c>
    </x:row>
    <x:row r="16">
      <x:c r="A16" s="203" t="str">
        <x:v>S13</x:v>
      </x:c>
      <x:c r="B16" s="204" t="str">
        <x:v>Business segments</x:v>
      </x:c>
      <x:c r="C16" s="204" t="str">
        <x:v>Latest annual / quarterly</x:v>
      </x:c>
      <x:c r="D16" s="204"/>
      <x:c r="E16" s="204"/>
      <x:c r="F16" s="204" t="str">
        <x:v>Eternal filings</x:v>
      </x:c>
      <x:c r="G16" s="196" t="str">
        <x:v>https://www.eternal.com/investor-relations/results/</x:v>
      </x:c>
      <x:c r="H16" s="197" t="str">
        <x:v>Food delivery, quick commerce, Hyperpure, going-out segment drivers</x:v>
      </x:c>
      <x:c r="I16" s="197" t="str">
        <x:v>Use segment disclosures where available.</x:v>
      </x:c>
    </x:row>
  </x:sheetData>
  <x:mergeCells>
    <x:mergeCell ref="A1:I1"/>
  </x:mergeCells>
  <x:pageMargins left="0.7" right="0.7" top="0.75" bottom="0.75" header="0.3" footer="0.3"/>
</x:worksheet>
</file>